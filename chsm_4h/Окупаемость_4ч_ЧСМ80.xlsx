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вод" sheetId="1" state="visible" r:id="rId1"/>
    <sheet xmlns:r="http://schemas.openxmlformats.org/officeDocument/2006/relationships" name="2. Проверка по факту АТС" sheetId="2" state="visible" r:id="rId2"/>
    <sheet xmlns:r="http://schemas.openxmlformats.org/officeDocument/2006/relationships" name="3. Метод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imes New Roman"/>
      <b val="1"/>
      <color rgb="001F3864"/>
      <sz val="14"/>
    </font>
    <font>
      <name val="Times New Roman"/>
      <color rgb="00404040"/>
      <sz val="11"/>
    </font>
    <font>
      <name val="Times New Roman"/>
      <b val="1"/>
      <color rgb="001F3864"/>
      <sz val="12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9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5" fillId="2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7" fillId="0" borderId="0" pivotButton="0" quotePrefix="0" xfId="0"/>
    <xf numFmtId="9" fontId="5" fillId="6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3" customWidth="1" min="3" max="3"/>
    <col width="6" customWidth="1" min="4" max="4"/>
    <col width="12" customWidth="1" min="5" max="5"/>
    <col width="13" customWidth="1" min="6" max="6"/>
    <col width="11" customWidth="1" min="7" max="7"/>
    <col width="15" customWidth="1" min="8" max="8"/>
    <col width="16" customWidth="1" min="9" max="9"/>
    <col width="13" customWidth="1" min="10" max="10"/>
    <col width="15" customWidth="1" min="11" max="11"/>
    <col width="11" customWidth="1" min="12" max="12"/>
    <col width="16" customWidth="1" min="13" max="13"/>
    <col width="13" customWidth="1" min="14" max="14"/>
    <col width="19" customWidth="1" min="15" max="15"/>
    <col width="19" customWidth="1" min="16" max="16"/>
    <col width="30" customWidth="1" min="17" max="17"/>
  </cols>
  <sheetData>
    <row r="1">
      <c r="A1" s="1" t="inlineStr">
        <is>
          <t>Окупаемость разгрузки 4 часов по заводам</t>
        </is>
      </c>
    </row>
    <row r="2">
      <c r="A2" s="2" t="inlineStr">
        <is>
          <t>ЧСМ — только внутри плановых пиковых часов СО ЕЭС. Жёлтые ячейки — ввод, остальное — формулы.</t>
        </is>
      </c>
    </row>
    <row r="4">
      <c r="A4" s="3" t="inlineStr">
        <is>
          <t>Исходные данные</t>
        </is>
      </c>
    </row>
    <row r="5">
      <c r="A5" s="4" t="inlineStr">
        <is>
          <t>Точность попадания ЧСМ в 4 часа разгрузки</t>
        </is>
      </c>
      <c r="B5" s="5" t="n"/>
      <c r="C5" s="6" t="n"/>
      <c r="D5" s="7" t="n">
        <v>0.8</v>
      </c>
    </row>
    <row r="6">
      <c r="A6" s="4" t="inlineStr">
        <is>
          <t>Часов разгрузки в сутки</t>
        </is>
      </c>
      <c r="B6" s="5" t="n"/>
      <c r="C6" s="6" t="n"/>
      <c r="D6" s="8" t="n">
        <v>4</v>
      </c>
    </row>
    <row r="7">
      <c r="A7" s="4" t="inlineStr">
        <is>
          <t>Год цены для окупаемости</t>
        </is>
      </c>
      <c r="B7" s="5" t="n"/>
      <c r="C7" s="6" t="n"/>
      <c r="D7" s="8" t="n">
        <v>2026</v>
      </c>
    </row>
    <row r="9">
      <c r="A9" s="3" t="inlineStr">
        <is>
          <t>Цена мощности, руб/МВт·мес</t>
        </is>
      </c>
    </row>
    <row r="10">
      <c r="A10" s="9" t="inlineStr">
        <is>
          <t>Год</t>
        </is>
      </c>
      <c r="B10" s="10" t="n">
        <v>2026</v>
      </c>
      <c r="C10" s="10" t="n">
        <v>2027</v>
      </c>
      <c r="D10" s="10" t="n">
        <v>2028</v>
      </c>
      <c r="E10" s="10" t="n">
        <v>2029</v>
      </c>
      <c r="F10" s="10" t="n">
        <v>2030</v>
      </c>
      <c r="G10" s="10" t="n">
        <v>2031</v>
      </c>
      <c r="H10" s="10" t="n">
        <v>2032</v>
      </c>
      <c r="I10" s="10" t="n">
        <v>2033</v>
      </c>
      <c r="J10" s="10" t="n">
        <v>2034</v>
      </c>
      <c r="K10" s="10" t="n">
        <v>2035</v>
      </c>
    </row>
    <row r="11">
      <c r="A11" s="9" t="inlineStr">
        <is>
          <t>Цена</t>
        </is>
      </c>
      <c r="B11" s="11" t="n">
        <v>1000000</v>
      </c>
      <c r="C11" s="11" t="n">
        <v>1330000</v>
      </c>
      <c r="D11" s="11" t="n">
        <v>1670000</v>
      </c>
      <c r="E11" s="11" t="n">
        <v>2000000</v>
      </c>
      <c r="F11" s="11" t="n">
        <v>2330000</v>
      </c>
      <c r="G11" s="11" t="n">
        <v>2670000</v>
      </c>
      <c r="H11" s="11" t="n">
        <v>3000000</v>
      </c>
      <c r="I11" s="11" t="n">
        <v>3330000</v>
      </c>
      <c r="J11" s="11" t="n">
        <v>3670000</v>
      </c>
      <c r="K11" s="11" t="n">
        <v>4000000</v>
      </c>
    </row>
    <row r="13">
      <c r="A13" s="3" t="inlineStr">
        <is>
          <t>Расчёт по заводам</t>
        </is>
      </c>
      <c r="G13" s="12" t="inlineStr">
        <is>
          <t>Сценарий 1: 80 % × потолок</t>
        </is>
      </c>
      <c r="K13" s="12" t="inlineStr">
        <is>
          <t>Сценарий 2: поправка на перенос пика</t>
        </is>
      </c>
    </row>
    <row r="14" ht="48" customHeight="1">
      <c r="A14" s="13" t="inlineStr">
        <is>
          <t>№</t>
        </is>
      </c>
      <c r="B14" s="13" t="inlineStr">
        <is>
          <t>Завод</t>
        </is>
      </c>
      <c r="C14" s="13" t="inlineStr">
        <is>
          <t>Регион</t>
        </is>
      </c>
      <c r="D14" s="13" t="inlineStr">
        <is>
          <t>Зона</t>
        </is>
      </c>
      <c r="E14" s="13" t="inlineStr">
        <is>
          <t>Потолок
снижения, МВт</t>
        </is>
      </c>
      <c r="F14" s="13" t="inlineStr">
        <is>
          <t>Инвестиции,
руб</t>
        </is>
      </c>
      <c r="G14" s="13" t="inlineStr">
        <is>
          <t>Зачётное
снижение, МВт</t>
        </is>
      </c>
      <c r="H14" s="13" t="inlineStr">
        <is>
          <t>Экономия
в месяц, руб</t>
        </is>
      </c>
      <c r="I14" s="13" t="inlineStr">
        <is>
          <t>Экономия
в год, руб</t>
        </is>
      </c>
      <c r="J14" s="13" t="inlineStr">
        <is>
          <t>Окупаемость,
дней</t>
        </is>
      </c>
      <c r="K14" s="13" t="inlineStr">
        <is>
          <t>Доля безопасного
среза (факт АТС)</t>
        </is>
      </c>
      <c r="L14" s="13" t="inlineStr">
        <is>
          <t>Зачётное
снижение, МВт</t>
        </is>
      </c>
      <c r="M14" s="13" t="inlineStr">
        <is>
          <t>Экономия
в год, руб</t>
        </is>
      </c>
      <c r="N14" s="13" t="inlineStr">
        <is>
          <t>Окупаемость,
дней</t>
        </is>
      </c>
      <c r="O14" s="13" t="inlineStr">
        <is>
          <t>Экономия 2026–2035,
руб (сц. 1)</t>
        </is>
      </c>
      <c r="P14" s="13" t="inlineStr">
        <is>
          <t>Экономия 2026–2035,
руб (сц. 2)</t>
        </is>
      </c>
      <c r="Q14" s="13" t="inlineStr">
        <is>
          <t>Примечание</t>
        </is>
      </c>
    </row>
    <row r="15">
      <c r="A15" s="14" t="n">
        <v>1</v>
      </c>
      <c r="B15" s="15" t="inlineStr">
        <is>
          <t>БрАЗ</t>
        </is>
      </c>
      <c r="C15" s="4" t="inlineStr">
        <is>
          <t>Иркутская область</t>
        </is>
      </c>
      <c r="D15" s="14" t="n">
        <v>2</v>
      </c>
      <c r="E15" s="16" t="n">
        <v>49</v>
      </c>
      <c r="F15" s="11" t="n">
        <v>1000000</v>
      </c>
      <c r="G15" s="17">
        <f>E15*$D$5</f>
        <v/>
      </c>
      <c r="H15" s="18">
        <f>G15*INDEX($B$11:$K$11,MATCH($D$7,$B$10:$K$10,0))</f>
        <v/>
      </c>
      <c r="I15" s="19">
        <f>H15*12</f>
        <v/>
      </c>
      <c r="J15" s="20">
        <f>IF(I15&lt;=0,"—",F15/I15*365)</f>
        <v/>
      </c>
      <c r="K15" s="21" t="n">
        <v>0.7235</v>
      </c>
      <c r="L15" s="17">
        <f>IF(ISNUMBER(K15),G15*K15,"н/д")</f>
        <v/>
      </c>
      <c r="M15" s="19">
        <f>IF(ISNUMBER(L15),L15*INDEX($B$11:$K$11,MATCH($D$7,$B$10:$K$10,0))*12,"н/д")</f>
        <v/>
      </c>
      <c r="N15" s="20">
        <f>IF(ISNUMBER(M15),IF(M15&lt;=0,"—",F15/M15*365),"н/д")</f>
        <v/>
      </c>
      <c r="O15" s="18">
        <f>G15*12*SUM($B$11:$K$11)</f>
        <v/>
      </c>
      <c r="P15" s="18">
        <f>IF(ISNUMBER(L15),L15*12*SUM($B$11:$K$11),"н/д")</f>
        <v/>
      </c>
      <c r="Q15" s="22" t="inlineStr"/>
    </row>
    <row r="16">
      <c r="A16" s="14" t="n">
        <v>2</v>
      </c>
      <c r="B16" s="15" t="inlineStr">
        <is>
          <t>ИркАЗ</t>
        </is>
      </c>
      <c r="C16" s="4" t="inlineStr">
        <is>
          <t>Иркутская область</t>
        </is>
      </c>
      <c r="D16" s="14" t="n">
        <v>2</v>
      </c>
      <c r="E16" s="16" t="n">
        <v>10.5</v>
      </c>
      <c r="F16" s="11" t="n">
        <v>1000000</v>
      </c>
      <c r="G16" s="17">
        <f>E16*$D$5</f>
        <v/>
      </c>
      <c r="H16" s="18">
        <f>G16*INDEX($B$11:$K$11,MATCH($D$7,$B$10:$K$10,0))</f>
        <v/>
      </c>
      <c r="I16" s="19">
        <f>H16*12</f>
        <v/>
      </c>
      <c r="J16" s="20">
        <f>IF(I16&lt;=0,"—",F16/I16*365)</f>
        <v/>
      </c>
      <c r="K16" s="21" t="n">
        <v>0.7235</v>
      </c>
      <c r="L16" s="17">
        <f>IF(ISNUMBER(K16),G16*K16,"н/д")</f>
        <v/>
      </c>
      <c r="M16" s="19">
        <f>IF(ISNUMBER(L16),L16*INDEX($B$11:$K$11,MATCH($D$7,$B$10:$K$10,0))*12,"н/д")</f>
        <v/>
      </c>
      <c r="N16" s="20">
        <f>IF(ISNUMBER(M16),IF(M16&lt;=0,"—",F16/M16*365),"н/д")</f>
        <v/>
      </c>
      <c r="O16" s="18">
        <f>G16*12*SUM($B$11:$K$11)</f>
        <v/>
      </c>
      <c r="P16" s="18">
        <f>IF(ISNUMBER(L16),L16*12*SUM($B$11:$K$11),"н/д")</f>
        <v/>
      </c>
      <c r="Q16" s="22" t="inlineStr"/>
    </row>
    <row r="17">
      <c r="A17" s="14" t="n">
        <v>3</v>
      </c>
      <c r="B17" s="15" t="inlineStr">
        <is>
          <t>ТАЗ</t>
        </is>
      </c>
      <c r="C17" s="4" t="inlineStr">
        <is>
          <t>Иркутская область</t>
        </is>
      </c>
      <c r="D17" s="14" t="n">
        <v>2</v>
      </c>
      <c r="E17" s="16" t="n">
        <v>6</v>
      </c>
      <c r="F17" s="11" t="n">
        <v>1000000</v>
      </c>
      <c r="G17" s="17">
        <f>E17*$D$5</f>
        <v/>
      </c>
      <c r="H17" s="18">
        <f>G17*INDEX($B$11:$K$11,MATCH($D$7,$B$10:$K$10,0))</f>
        <v/>
      </c>
      <c r="I17" s="19">
        <f>H17*12</f>
        <v/>
      </c>
      <c r="J17" s="20">
        <f>IF(I17&lt;=0,"—",F17/I17*365)</f>
        <v/>
      </c>
      <c r="K17" s="21" t="n">
        <v>0.7235</v>
      </c>
      <c r="L17" s="17">
        <f>IF(ISNUMBER(K17),G17*K17,"н/д")</f>
        <v/>
      </c>
      <c r="M17" s="19">
        <f>IF(ISNUMBER(L17),L17*INDEX($B$11:$K$11,MATCH($D$7,$B$10:$K$10,0))*12,"н/д")</f>
        <v/>
      </c>
      <c r="N17" s="20">
        <f>IF(ISNUMBER(M17),IF(M17&lt;=0,"—",F17/M17*365),"н/д")</f>
        <v/>
      </c>
      <c r="O17" s="18">
        <f>G17*12*SUM($B$11:$K$11)</f>
        <v/>
      </c>
      <c r="P17" s="18">
        <f>IF(ISNUMBER(L17),L17*12*SUM($B$11:$K$11),"н/д")</f>
        <v/>
      </c>
      <c r="Q17" s="22" t="inlineStr"/>
    </row>
    <row r="18">
      <c r="A18" s="14" t="n">
        <v>4</v>
      </c>
      <c r="B18" s="15" t="inlineStr">
        <is>
          <t>НкАЗ</t>
        </is>
      </c>
      <c r="C18" s="4" t="inlineStr">
        <is>
          <t>Кемеровская область</t>
        </is>
      </c>
      <c r="D18" s="14" t="n">
        <v>2</v>
      </c>
      <c r="E18" s="16" t="n">
        <v>17</v>
      </c>
      <c r="F18" s="11" t="n">
        <v>1000000</v>
      </c>
      <c r="G18" s="17">
        <f>E18*$D$5</f>
        <v/>
      </c>
      <c r="H18" s="18">
        <f>G18*INDEX($B$11:$K$11,MATCH($D$7,$B$10:$K$10,0))</f>
        <v/>
      </c>
      <c r="I18" s="19">
        <f>H18*12</f>
        <v/>
      </c>
      <c r="J18" s="20">
        <f>IF(I18&lt;=0,"—",F18/I18*365)</f>
        <v/>
      </c>
      <c r="K18" s="21" t="n">
        <v>0.9298</v>
      </c>
      <c r="L18" s="17">
        <f>IF(ISNUMBER(K18),G18*K18,"н/д")</f>
        <v/>
      </c>
      <c r="M18" s="19">
        <f>IF(ISNUMBER(L18),L18*INDEX($B$11:$K$11,MATCH($D$7,$B$10:$K$10,0))*12,"н/д")</f>
        <v/>
      </c>
      <c r="N18" s="20">
        <f>IF(ISNUMBER(M18),IF(M18&lt;=0,"—",F18/M18*365),"н/д")</f>
        <v/>
      </c>
      <c r="O18" s="18">
        <f>G18*12*SUM($B$11:$K$11)</f>
        <v/>
      </c>
      <c r="P18" s="18">
        <f>IF(ISNUMBER(L18),L18*12*SUM($B$11:$K$11),"н/д")</f>
        <v/>
      </c>
      <c r="Q18" s="22" t="inlineStr"/>
    </row>
    <row r="19">
      <c r="A19" s="14" t="n">
        <v>5</v>
      </c>
      <c r="B19" s="15" t="inlineStr">
        <is>
          <t>САЗ</t>
        </is>
      </c>
      <c r="C19" s="4" t="inlineStr">
        <is>
          <t>Республика Хакасия</t>
        </is>
      </c>
      <c r="D19" s="14" t="n">
        <v>2</v>
      </c>
      <c r="E19" s="16" t="n">
        <v>15</v>
      </c>
      <c r="F19" s="11" t="n">
        <v>1000000</v>
      </c>
      <c r="G19" s="17">
        <f>E19*$D$5</f>
        <v/>
      </c>
      <c r="H19" s="18">
        <f>G19*INDEX($B$11:$K$11,MATCH($D$7,$B$10:$K$10,0))</f>
        <v/>
      </c>
      <c r="I19" s="19">
        <f>H19*12</f>
        <v/>
      </c>
      <c r="J19" s="20">
        <f>IF(I19&lt;=0,"—",F19/I19*365)</f>
        <v/>
      </c>
      <c r="K19" s="21" t="n">
        <v>0.629</v>
      </c>
      <c r="L19" s="17">
        <f>IF(ISNUMBER(K19),G19*K19,"н/д")</f>
        <v/>
      </c>
      <c r="M19" s="19">
        <f>IF(ISNUMBER(L19),L19*INDEX($B$11:$K$11,MATCH($D$7,$B$10:$K$10,0))*12,"н/д")</f>
        <v/>
      </c>
      <c r="N19" s="20">
        <f>IF(ISNUMBER(M19),IF(M19&lt;=0,"—",F19/M19*365),"н/д")</f>
        <v/>
      </c>
      <c r="O19" s="18">
        <f>G19*12*SUM($B$11:$K$11)</f>
        <v/>
      </c>
      <c r="P19" s="18">
        <f>IF(ISNUMBER(L19),L19*12*SUM($B$11:$K$11),"н/д")</f>
        <v/>
      </c>
      <c r="Q19" s="22" t="inlineStr"/>
    </row>
    <row r="20">
      <c r="A20" s="14" t="n">
        <v>6</v>
      </c>
      <c r="B20" s="15" t="inlineStr">
        <is>
          <t>ВгАЗ</t>
        </is>
      </c>
      <c r="C20" s="4" t="inlineStr">
        <is>
          <t>Волгоградская область</t>
        </is>
      </c>
      <c r="D20" s="14" t="n">
        <v>1</v>
      </c>
      <c r="E20" s="16" t="n">
        <v>3</v>
      </c>
      <c r="F20" s="11" t="n">
        <v>1000000</v>
      </c>
      <c r="G20" s="17">
        <f>E20*$D$5</f>
        <v/>
      </c>
      <c r="H20" s="18">
        <f>G20*INDEX($B$11:$K$11,MATCH($D$7,$B$10:$K$10,0))</f>
        <v/>
      </c>
      <c r="I20" s="19">
        <f>H20*12</f>
        <v/>
      </c>
      <c r="J20" s="20">
        <f>IF(I20&lt;=0,"—",F20/I20*365)</f>
        <v/>
      </c>
      <c r="K20" s="21" t="n">
        <v>0.9576</v>
      </c>
      <c r="L20" s="17">
        <f>IF(ISNUMBER(K20),G20*K20,"н/д")</f>
        <v/>
      </c>
      <c r="M20" s="19">
        <f>IF(ISNUMBER(L20),L20*INDEX($B$11:$K$11,MATCH($D$7,$B$10:$K$10,0))*12,"н/д")</f>
        <v/>
      </c>
      <c r="N20" s="20">
        <f>IF(ISNUMBER(M20),IF(M20&lt;=0,"—",F20/M20*365),"н/д")</f>
        <v/>
      </c>
      <c r="O20" s="18">
        <f>G20*12*SUM($B$11:$K$11)</f>
        <v/>
      </c>
      <c r="P20" s="18">
        <f>IF(ISNUMBER(L20),L20*12*SUM($B$11:$K$11),"н/д")</f>
        <v/>
      </c>
      <c r="Q20" s="22" t="inlineStr"/>
    </row>
    <row r="21">
      <c r="A21" s="14" t="n">
        <v>7</v>
      </c>
      <c r="B21" s="15" t="inlineStr">
        <is>
          <t>КАЗ</t>
        </is>
      </c>
      <c r="C21" s="4" t="inlineStr">
        <is>
          <t>Мурманская область</t>
        </is>
      </c>
      <c r="D21" s="14" t="n">
        <v>1</v>
      </c>
      <c r="E21" s="16" t="n">
        <v>1</v>
      </c>
      <c r="F21" s="11" t="n">
        <v>1000000</v>
      </c>
      <c r="G21" s="17">
        <f>E21*$D$5</f>
        <v/>
      </c>
      <c r="H21" s="18">
        <f>G21*INDEX($B$11:$K$11,MATCH($D$7,$B$10:$K$10,0))</f>
        <v/>
      </c>
      <c r="I21" s="19">
        <f>H21*12</f>
        <v/>
      </c>
      <c r="J21" s="20">
        <f>IF(I21&lt;=0,"—",F21/I21*365)</f>
        <v/>
      </c>
      <c r="K21" s="21" t="inlineStr">
        <is>
          <t>н/д</t>
        </is>
      </c>
      <c r="L21" s="17">
        <f>IF(ISNUMBER(K21),G21*K21,"н/д")</f>
        <v/>
      </c>
      <c r="M21" s="19">
        <f>IF(ISNUMBER(L21),L21*INDEX($B$11:$K$11,MATCH($D$7,$B$10:$K$10,0))*12,"н/д")</f>
        <v/>
      </c>
      <c r="N21" s="20">
        <f>IF(ISNUMBER(M21),IF(M21&lt;=0,"—",F21/M21*365),"н/д")</f>
        <v/>
      </c>
      <c r="O21" s="18">
        <f>G21*12*SUM($B$11:$K$11)</f>
        <v/>
      </c>
      <c r="P21" s="18">
        <f>IF(ISNUMBER(L21),L21*12*SUM($B$11:$K$11),"н/д")</f>
        <v/>
      </c>
      <c r="Q21" s="22" t="inlineStr">
        <is>
          <t>нет посуточного факта АТС</t>
        </is>
      </c>
    </row>
    <row r="22">
      <c r="A22" s="14" t="n">
        <v>8</v>
      </c>
      <c r="B22" s="15" t="inlineStr">
        <is>
          <t>КрАЗ</t>
        </is>
      </c>
      <c r="C22" s="4" t="inlineStr">
        <is>
          <t>Красноярский край</t>
        </is>
      </c>
      <c r="D22" s="14" t="n">
        <v>2</v>
      </c>
      <c r="E22" s="16" t="n">
        <v>49</v>
      </c>
      <c r="F22" s="11" t="n">
        <v>1000000</v>
      </c>
      <c r="G22" s="17">
        <f>E22*$D$5</f>
        <v/>
      </c>
      <c r="H22" s="18">
        <f>G22*INDEX($B$11:$K$11,MATCH($D$7,$B$10:$K$10,0))</f>
        <v/>
      </c>
      <c r="I22" s="19">
        <f>H22*12</f>
        <v/>
      </c>
      <c r="J22" s="20">
        <f>IF(I22&lt;=0,"—",F22/I22*365)</f>
        <v/>
      </c>
      <c r="K22" s="21" t="n">
        <v>0.5965</v>
      </c>
      <c r="L22" s="17">
        <f>IF(ISNUMBER(K22),G22*K22,"н/д")</f>
        <v/>
      </c>
      <c r="M22" s="19">
        <f>IF(ISNUMBER(L22),L22*INDEX($B$11:$K$11,MATCH($D$7,$B$10:$K$10,0))*12,"н/д")</f>
        <v/>
      </c>
      <c r="N22" s="20">
        <f>IF(ISNUMBER(M22),IF(M22&lt;=0,"—",F22/M22*365),"н/д")</f>
        <v/>
      </c>
      <c r="O22" s="18">
        <f>G22*12*SUM($B$11:$K$11)</f>
        <v/>
      </c>
      <c r="P22" s="18">
        <f>IF(ISNUMBER(L22),L22*12*SUM($B$11:$K$11),"н/д")</f>
        <v/>
      </c>
      <c r="Q22" s="22" t="inlineStr">
        <is>
          <t>потолок из so_data (в реестре zavody_data нет)</t>
        </is>
      </c>
    </row>
    <row r="23">
      <c r="A23" s="23" t="n"/>
      <c r="B23" s="23" t="inlineStr">
        <is>
          <t>ИТОГО</t>
        </is>
      </c>
      <c r="C23" s="23" t="n"/>
      <c r="D23" s="23" t="n"/>
      <c r="E23" s="24">
        <f>SUM(E15:E22)</f>
        <v/>
      </c>
      <c r="F23" s="25">
        <f>SUM(F15:F22)</f>
        <v/>
      </c>
      <c r="G23" s="24">
        <f>SUM(G15:G22)</f>
        <v/>
      </c>
      <c r="H23" s="25">
        <f>SUM(H15:H22)</f>
        <v/>
      </c>
      <c r="I23" s="25">
        <f>SUM(I15:I22)</f>
        <v/>
      </c>
      <c r="J23" s="26">
        <f>IF(I23&lt;=0,"—",F23/I23*365)</f>
        <v/>
      </c>
      <c r="K23" s="23" t="n"/>
      <c r="L23" s="24">
        <f>SUM(L15:L22)</f>
        <v/>
      </c>
      <c r="M23" s="25">
        <f>SUM(M15:M22)</f>
        <v/>
      </c>
      <c r="N23" s="26">
        <f>IF(M23&lt;=0,"—",F23/M23*365)</f>
        <v/>
      </c>
      <c r="O23" s="25">
        <f>SUM(O15:O22)</f>
        <v/>
      </c>
      <c r="P23" s="25">
        <f>SUM(P15:P22)</f>
        <v/>
      </c>
      <c r="Q23" s="23" t="n"/>
    </row>
    <row r="25">
      <c r="A25" s="27" t="inlineStr">
        <is>
          <t>Сценарий 1 — как задано: потолок снижения держится все 4 часа, ЧСМ попадает в эти часы в 80 % рабочих дней; зачётное снижение = потолок × 80 %.</t>
        </is>
      </c>
    </row>
    <row r="26">
      <c r="A26" s="27" t="inlineStr">
        <is>
          <t>Сценарий 2 — в дни попадания срез не больше запаса блока над остальными часами окна СО ЕЭС (иначе разгрузка сама уводит ЧСМ из блока). Доля безопасного среза — по посуточному факту АТС июнь 2025 — май 2026, для региона в целом (заводы региона режут совместно).</t>
        </is>
      </c>
    </row>
    <row r="27">
      <c r="A27" s="27" t="inlineStr">
        <is>
          <t>Инвестиции 1 млн руб на завод — предварительное значение из zavody_data; при нём окупаемость измеряется днями. Подставьте реальные затраты в столбец F.</t>
        </is>
      </c>
    </row>
    <row r="28">
      <c r="A28" s="27" t="inlineStr">
        <is>
          <t>Не учтены: недовыпуск/перенос производства в часы разгрузки, изменение стоимости электроэнергии, сетевая составляющая.</t>
        </is>
      </c>
    </row>
  </sheetData>
  <mergeCells count="3">
    <mergeCell ref="A5:C5"/>
    <mergeCell ref="A7:C7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22" customWidth="1" min="3" max="3"/>
    <col width="11" customWidth="1" min="4" max="4"/>
    <col width="15" customWidth="1" min="5" max="5"/>
    <col width="15" customWidth="1" min="6" max="6"/>
    <col width="17" customWidth="1" min="7" max="7"/>
    <col width="17" customWidth="1" min="8" max="8"/>
    <col width="26" customWidth="1" min="9" max="9"/>
    <col width="12" customWidth="1" min="10" max="10"/>
  </cols>
  <sheetData>
    <row r="1">
      <c r="A1" s="1" t="inlineStr">
        <is>
          <t>Проверка точности по факту АТС</t>
        </is>
      </c>
    </row>
    <row r="2">
      <c r="A2" s="2" t="inlineStr">
        <is>
          <t>Рабочие дни июнь 2025 — май 2026. ЧСМ = час максимума потребления субъекта внутри окна СО ЕЭС. Блок — 4 часа подряд внутри окна.</t>
        </is>
      </c>
    </row>
    <row r="4" ht="62" customHeight="1">
      <c r="A4" s="13" t="inlineStr">
        <is>
          <t>Регион</t>
        </is>
      </c>
      <c r="B4" s="13" t="inlineStr">
        <is>
          <t>Зона</t>
        </is>
      </c>
      <c r="C4" s="13" t="inlineStr">
        <is>
          <t>Заводы</t>
        </is>
      </c>
      <c r="D4" s="13" t="inlineStr">
        <is>
          <t>Суммарный
срез, МВт</t>
        </is>
      </c>
      <c r="E4" s="13" t="inlineStr">
        <is>
          <t>Раб.
дней</t>
        </is>
      </c>
      <c r="F4" s="13" t="inlineStr">
        <is>
          <t>Фикс. блок на месяц:
ЧСМ в блоке
без разгрузки</t>
        </is>
      </c>
      <c r="G4" s="13" t="inlineStr">
        <is>
          <t>Фикс. блок на месяц:
ЧСМ в блоке
после разгрузки</t>
        </is>
      </c>
      <c r="H4" s="13" t="inlineStr">
        <is>
          <t>Идеальный прогноз:
дней, где полный срез
не уводит ЧСМ</t>
        </is>
      </c>
      <c r="I4" s="13" t="inlineStr">
        <is>
          <t>Идеальный прогноз:
средний безопасный
срез, МВт</t>
        </is>
      </c>
      <c r="J4" s="13" t="inlineStr">
        <is>
          <t>Доля
безопасного
среза</t>
        </is>
      </c>
    </row>
    <row r="5">
      <c r="A5" s="15" t="inlineStr">
        <is>
          <t>Иркутская область</t>
        </is>
      </c>
      <c r="B5" s="14" t="n">
        <v>2</v>
      </c>
      <c r="C5" s="4" t="inlineStr">
        <is>
          <t>БрАЗ, ИркАЗ, ТАЗ</t>
        </is>
      </c>
      <c r="D5" s="17" t="n">
        <v>65.5</v>
      </c>
      <c r="E5" s="14" t="n">
        <v>245</v>
      </c>
      <c r="F5" s="28" t="n">
        <v>0.6776</v>
      </c>
      <c r="G5" s="28" t="n">
        <v>0.3796</v>
      </c>
      <c r="H5" s="28" t="n">
        <v>0.4612</v>
      </c>
      <c r="I5" s="17" t="n">
        <v>47.39</v>
      </c>
      <c r="J5" s="29" t="n">
        <v>0.7235</v>
      </c>
    </row>
    <row r="6">
      <c r="A6" s="15" t="inlineStr">
        <is>
          <t>Кемеровская область</t>
        </is>
      </c>
      <c r="B6" s="14" t="n">
        <v>2</v>
      </c>
      <c r="C6" s="4" t="inlineStr">
        <is>
          <t>НкАЗ</t>
        </is>
      </c>
      <c r="D6" s="17" t="n">
        <v>17</v>
      </c>
      <c r="E6" s="14" t="n">
        <v>245</v>
      </c>
      <c r="F6" s="30" t="n">
        <v>0.8939</v>
      </c>
      <c r="G6" s="30" t="n">
        <v>0.8041</v>
      </c>
      <c r="H6" s="30" t="n">
        <v>0.8449</v>
      </c>
      <c r="I6" s="17" t="n">
        <v>15.81</v>
      </c>
      <c r="J6" s="29" t="n">
        <v>0.9298</v>
      </c>
    </row>
    <row r="7">
      <c r="A7" s="15" t="inlineStr">
        <is>
          <t>Республика Хакасия</t>
        </is>
      </c>
      <c r="B7" s="14" t="n">
        <v>2</v>
      </c>
      <c r="C7" s="4" t="inlineStr">
        <is>
          <t>САЗ</t>
        </is>
      </c>
      <c r="D7" s="17" t="n">
        <v>15</v>
      </c>
      <c r="E7" s="14" t="n">
        <v>245</v>
      </c>
      <c r="F7" s="28" t="n">
        <v>0.5551</v>
      </c>
      <c r="G7" s="28" t="n">
        <v>0.2286</v>
      </c>
      <c r="H7" s="28" t="n">
        <v>0.3061</v>
      </c>
      <c r="I7" s="17" t="n">
        <v>9.44</v>
      </c>
      <c r="J7" s="29" t="n">
        <v>0.629</v>
      </c>
    </row>
    <row r="8">
      <c r="A8" s="15" t="inlineStr">
        <is>
          <t>Волгоградская область</t>
        </is>
      </c>
      <c r="B8" s="14" t="n">
        <v>1</v>
      </c>
      <c r="C8" s="4" t="inlineStr">
        <is>
          <t>ВгАЗ</t>
        </is>
      </c>
      <c r="D8" s="17" t="n">
        <v>3</v>
      </c>
      <c r="E8" s="14" t="n">
        <v>245</v>
      </c>
      <c r="F8" s="28" t="n">
        <v>0.6367</v>
      </c>
      <c r="G8" s="28" t="n">
        <v>0.5959</v>
      </c>
      <c r="H8" s="30" t="n">
        <v>0.9265</v>
      </c>
      <c r="I8" s="17" t="n">
        <v>2.87</v>
      </c>
      <c r="J8" s="29" t="n">
        <v>0.9576</v>
      </c>
    </row>
    <row r="9">
      <c r="A9" s="15" t="inlineStr">
        <is>
          <t>Красноярский край</t>
        </is>
      </c>
      <c r="B9" s="14" t="n">
        <v>2</v>
      </c>
      <c r="C9" s="4" t="inlineStr">
        <is>
          <t>КрАЗ</t>
        </is>
      </c>
      <c r="D9" s="17" t="n">
        <v>49</v>
      </c>
      <c r="E9" s="14" t="n">
        <v>245</v>
      </c>
      <c r="F9" s="28" t="n">
        <v>0.6898</v>
      </c>
      <c r="G9" s="28" t="n">
        <v>0.2204</v>
      </c>
      <c r="H9" s="28" t="n">
        <v>0.2776</v>
      </c>
      <c r="I9" s="17" t="n">
        <v>29.23</v>
      </c>
      <c r="J9" s="29" t="n">
        <v>0.5965</v>
      </c>
    </row>
    <row r="10">
      <c r="A10" s="27" t="inlineStr">
        <is>
          <t>Зелёный — не ниже 80 %, красный — ниже. Фиксированный блок подобран задним числом по самому месяцу (оценка сверху для расписания «один блок на месяц»).</t>
        </is>
      </c>
    </row>
    <row r="11">
      <c r="A11" s="27" t="inlineStr">
        <is>
          <t>Идеальный прогноз — на каждые сутки выбран лучший блок; это потолок для любой модели прогноза.</t>
        </is>
      </c>
    </row>
    <row r="13">
      <c r="A13" s="3" t="inlineStr">
        <is>
          <t>Иркутская область — по месяцам (срез 65.5 МВт)</t>
        </is>
      </c>
    </row>
    <row r="14" ht="50" customHeight="1">
      <c r="A14" s="13" t="inlineStr">
        <is>
          <t>Месяц</t>
        </is>
      </c>
      <c r="B14" s="13" t="inlineStr">
        <is>
          <t>Раб.
дней</t>
        </is>
      </c>
      <c r="C14" s="13" t="inlineStr">
        <is>
          <t>Окно СО ЕЭС, МСК</t>
        </is>
      </c>
      <c r="D14" s="13" t="inlineStr">
        <is>
          <t>Лучший
блок</t>
        </is>
      </c>
      <c r="E14" s="13" t="inlineStr">
        <is>
          <t>ЧСМ в блоке
без разгрузки</t>
        </is>
      </c>
      <c r="F14" s="13" t="inlineStr">
        <is>
          <t>ЧСМ в блоке
после разгрузки</t>
        </is>
      </c>
      <c r="G14" s="13" t="inlineStr">
        <is>
          <t>Полный срез
не уводит ЧСМ
(идеал)</t>
        </is>
      </c>
      <c r="H14" s="13" t="inlineStr">
        <is>
          <t>Безопасный
срез, МВт
(идеал)</t>
        </is>
      </c>
      <c r="I14" s="13" t="inlineStr">
        <is>
          <t>Частые часы ЧСМ
(час: дней)</t>
        </is>
      </c>
    </row>
    <row r="15">
      <c r="A15" s="4" t="inlineStr">
        <is>
          <t>июнь 2025</t>
        </is>
      </c>
      <c r="B15" s="14" t="n">
        <v>19</v>
      </c>
      <c r="C15" s="14" t="inlineStr">
        <is>
          <t>5-11,13-17</t>
        </is>
      </c>
      <c r="D15" s="14" t="inlineStr">
        <is>
          <t>14–17</t>
        </is>
      </c>
      <c r="E15" s="31" t="n">
        <v>0.3158</v>
      </c>
      <c r="F15" s="31" t="n">
        <v>0.1053</v>
      </c>
      <c r="G15" s="31" t="n">
        <v>0.2105</v>
      </c>
      <c r="H15" s="17" t="n">
        <v>36.53</v>
      </c>
      <c r="I15" s="4" t="inlineStr">
        <is>
          <t>17: 6, 5: 3, 7: 3, 6: 2</t>
        </is>
      </c>
    </row>
    <row r="16">
      <c r="A16" s="4" t="inlineStr">
        <is>
          <t>июль 2025</t>
        </is>
      </c>
      <c r="B16" s="14" t="n">
        <v>23</v>
      </c>
      <c r="C16" s="14" t="inlineStr">
        <is>
          <t>5-17</t>
        </is>
      </c>
      <c r="D16" s="14" t="inlineStr">
        <is>
          <t>6–9</t>
        </is>
      </c>
      <c r="E16" s="31" t="n">
        <v>0.5652</v>
      </c>
      <c r="F16" s="31" t="n">
        <v>0.0435</v>
      </c>
      <c r="G16" s="31" t="n">
        <v>0.08699999999999999</v>
      </c>
      <c r="H16" s="17" t="n">
        <v>31.72</v>
      </c>
      <c r="I16" s="4" t="inlineStr">
        <is>
          <t>7: 8, 17: 5, 6: 3, 9: 2</t>
        </is>
      </c>
    </row>
    <row r="17">
      <c r="A17" s="4" t="inlineStr">
        <is>
          <t>август 2025</t>
        </is>
      </c>
      <c r="B17" s="14" t="n">
        <v>21</v>
      </c>
      <c r="C17" s="14" t="inlineStr">
        <is>
          <t>5-10,14-17</t>
        </is>
      </c>
      <c r="D17" s="14" t="inlineStr">
        <is>
          <t>14–17</t>
        </is>
      </c>
      <c r="E17" s="31" t="n">
        <v>0.6667</v>
      </c>
      <c r="F17" s="31" t="n">
        <v>0.3333</v>
      </c>
      <c r="G17" s="31" t="n">
        <v>0.3333</v>
      </c>
      <c r="H17" s="17" t="n">
        <v>42.23</v>
      </c>
      <c r="I17" s="4" t="inlineStr">
        <is>
          <t>17: 8, 7: 4, 16: 3, 9: 2</t>
        </is>
      </c>
    </row>
    <row r="18">
      <c r="A18" s="4" t="inlineStr">
        <is>
          <t>сентябрь 2025</t>
        </is>
      </c>
      <c r="B18" s="14" t="n">
        <v>22</v>
      </c>
      <c r="C18" s="14" t="inlineStr">
        <is>
          <t>5-8,13-17</t>
        </is>
      </c>
      <c r="D18" s="14" t="inlineStr">
        <is>
          <t>14–17</t>
        </is>
      </c>
      <c r="E18" s="32" t="n">
        <v>1</v>
      </c>
      <c r="F18" s="32" t="n">
        <v>0.9545</v>
      </c>
      <c r="G18" s="32" t="n">
        <v>0.9545</v>
      </c>
      <c r="H18" s="17" t="n">
        <v>65.48999999999999</v>
      </c>
      <c r="I18" s="4" t="inlineStr">
        <is>
          <t>16: 18, 17: 2, 15: 2</t>
        </is>
      </c>
    </row>
    <row r="19">
      <c r="A19" s="4" t="inlineStr">
        <is>
          <t>октябрь 2025</t>
        </is>
      </c>
      <c r="B19" s="14" t="n">
        <v>23</v>
      </c>
      <c r="C19" s="14" t="inlineStr">
        <is>
          <t>5-8,12-17</t>
        </is>
      </c>
      <c r="D19" s="14" t="inlineStr">
        <is>
          <t>14–17</t>
        </is>
      </c>
      <c r="E19" s="31" t="n">
        <v>0.7826</v>
      </c>
      <c r="F19" s="31" t="n">
        <v>0.4783</v>
      </c>
      <c r="G19" s="31" t="n">
        <v>0.5652</v>
      </c>
      <c r="H19" s="17" t="n">
        <v>53.1</v>
      </c>
      <c r="I19" s="4" t="inlineStr">
        <is>
          <t>15: 9, 16: 6, 14: 3, 5: 3</t>
        </is>
      </c>
    </row>
    <row r="20">
      <c r="A20" s="4" t="inlineStr">
        <is>
          <t>ноябрь 2025</t>
        </is>
      </c>
      <c r="B20" s="14" t="n">
        <v>19</v>
      </c>
      <c r="C20" s="14" t="inlineStr">
        <is>
          <t>5-8,11-17</t>
        </is>
      </c>
      <c r="D20" s="14" t="inlineStr">
        <is>
          <t>13–16</t>
        </is>
      </c>
      <c r="E20" s="31" t="n">
        <v>0.6842</v>
      </c>
      <c r="F20" s="31" t="n">
        <v>0.3158</v>
      </c>
      <c r="G20" s="31" t="n">
        <v>0.4737</v>
      </c>
      <c r="H20" s="17" t="n">
        <v>46.24</v>
      </c>
      <c r="I20" s="4" t="inlineStr">
        <is>
          <t>14: 8, 5: 5, 15: 3, 16: 2</t>
        </is>
      </c>
    </row>
    <row r="21">
      <c r="A21" s="4" t="inlineStr">
        <is>
          <t>декабрь 2025</t>
        </is>
      </c>
      <c r="B21" s="14" t="n">
        <v>22</v>
      </c>
      <c r="C21" s="14" t="inlineStr">
        <is>
          <t>5-8,11-17</t>
        </is>
      </c>
      <c r="D21" s="14" t="inlineStr">
        <is>
          <t>13–16</t>
        </is>
      </c>
      <c r="E21" s="31" t="n">
        <v>0.3636</v>
      </c>
      <c r="F21" s="31" t="n">
        <v>0.1364</v>
      </c>
      <c r="G21" s="31" t="n">
        <v>0.2273</v>
      </c>
      <c r="H21" s="17" t="n">
        <v>41.54</v>
      </c>
      <c r="I21" s="4" t="inlineStr">
        <is>
          <t>7: 8, 5: 3, 13: 3, 16: 3</t>
        </is>
      </c>
    </row>
    <row r="22">
      <c r="A22" s="4" t="inlineStr">
        <is>
          <t>январь 2026</t>
        </is>
      </c>
      <c r="B22" s="14" t="n">
        <v>15</v>
      </c>
      <c r="C22" s="14" t="inlineStr">
        <is>
          <t>5-8,11-17</t>
        </is>
      </c>
      <c r="D22" s="14" t="inlineStr">
        <is>
          <t>5–8</t>
        </is>
      </c>
      <c r="E22" s="32" t="n">
        <v>0.8</v>
      </c>
      <c r="F22" s="31" t="n">
        <v>0.5333</v>
      </c>
      <c r="G22" s="31" t="n">
        <v>0.6667</v>
      </c>
      <c r="H22" s="17" t="n">
        <v>55.73</v>
      </c>
      <c r="I22" s="4" t="inlineStr">
        <is>
          <t>7: 6, 8: 3, 14: 2, 6: 2</t>
        </is>
      </c>
    </row>
    <row r="23">
      <c r="A23" s="4" t="inlineStr">
        <is>
          <t>февраль 2026</t>
        </is>
      </c>
      <c r="B23" s="14" t="n">
        <v>19</v>
      </c>
      <c r="C23" s="14" t="inlineStr">
        <is>
          <t>5-8,12-17</t>
        </is>
      </c>
      <c r="D23" s="14" t="inlineStr">
        <is>
          <t>5–8</t>
        </is>
      </c>
      <c r="E23" s="31" t="n">
        <v>0.7895</v>
      </c>
      <c r="F23" s="31" t="n">
        <v>0.3684</v>
      </c>
      <c r="G23" s="31" t="n">
        <v>0.5263</v>
      </c>
      <c r="H23" s="17" t="n">
        <v>52.07</v>
      </c>
      <c r="I23" s="4" t="inlineStr">
        <is>
          <t>5: 13, 16: 2, 6: 2, 14: 1</t>
        </is>
      </c>
    </row>
    <row r="24">
      <c r="A24" s="4" t="inlineStr">
        <is>
          <t>март 2026</t>
        </is>
      </c>
      <c r="B24" s="14" t="n">
        <v>21</v>
      </c>
      <c r="C24" s="14" t="inlineStr">
        <is>
          <t>5-8,13-17</t>
        </is>
      </c>
      <c r="D24" s="14" t="inlineStr">
        <is>
          <t>5–8</t>
        </is>
      </c>
      <c r="E24" s="31" t="n">
        <v>0.4762</v>
      </c>
      <c r="F24" s="31" t="n">
        <v>0.2857</v>
      </c>
      <c r="G24" s="31" t="n">
        <v>0.4762</v>
      </c>
      <c r="H24" s="17" t="n">
        <v>47.93</v>
      </c>
      <c r="I24" s="4" t="inlineStr">
        <is>
          <t>5: 8, 16: 7, 17: 3, 6: 2</t>
        </is>
      </c>
    </row>
    <row r="25">
      <c r="A25" s="4" t="inlineStr">
        <is>
          <t>апрель 2026</t>
        </is>
      </c>
      <c r="B25" s="14" t="n">
        <v>22</v>
      </c>
      <c r="C25" s="14" t="inlineStr">
        <is>
          <t>5-8,13-17</t>
        </is>
      </c>
      <c r="D25" s="14" t="inlineStr">
        <is>
          <t>14–17</t>
        </is>
      </c>
      <c r="E25" s="32" t="n">
        <v>0.9091</v>
      </c>
      <c r="F25" s="31" t="n">
        <v>0.4545</v>
      </c>
      <c r="G25" s="31" t="n">
        <v>0.4545</v>
      </c>
      <c r="H25" s="17" t="n">
        <v>48.56</v>
      </c>
      <c r="I25" s="4" t="inlineStr">
        <is>
          <t>16: 10, 17: 9, 6: 1, 15: 1</t>
        </is>
      </c>
    </row>
    <row r="26">
      <c r="A26" s="4" t="inlineStr">
        <is>
          <t>май 2026</t>
        </is>
      </c>
      <c r="B26" s="14" t="n">
        <v>19</v>
      </c>
      <c r="C26" s="14" t="inlineStr">
        <is>
          <t>5-8,13-17</t>
        </is>
      </c>
      <c r="D26" s="14" t="inlineStr">
        <is>
          <t>14–17</t>
        </is>
      </c>
      <c r="E26" s="31" t="n">
        <v>0.7895</v>
      </c>
      <c r="F26" s="31" t="n">
        <v>0.5789</v>
      </c>
      <c r="G26" s="31" t="n">
        <v>0.6316000000000001</v>
      </c>
      <c r="H26" s="17" t="n">
        <v>49.78</v>
      </c>
      <c r="I26" s="4" t="inlineStr">
        <is>
          <t>17: 13, 16: 2, 5: 2, 6: 1</t>
        </is>
      </c>
    </row>
    <row r="28">
      <c r="A28" s="3" t="inlineStr">
        <is>
          <t>Кемеровская область — по месяцам (срез 17 МВт)</t>
        </is>
      </c>
    </row>
    <row r="29" ht="50" customHeight="1">
      <c r="A29" s="13" t="inlineStr">
        <is>
          <t>Месяц</t>
        </is>
      </c>
      <c r="B29" s="13" t="inlineStr">
        <is>
          <t>Раб.
дней</t>
        </is>
      </c>
      <c r="C29" s="13" t="inlineStr">
        <is>
          <t>Окно СО ЕЭС, МСК</t>
        </is>
      </c>
      <c r="D29" s="13" t="inlineStr">
        <is>
          <t>Лучший
блок</t>
        </is>
      </c>
      <c r="E29" s="13" t="inlineStr">
        <is>
          <t>ЧСМ в блоке
без разгрузки</t>
        </is>
      </c>
      <c r="F29" s="13" t="inlineStr">
        <is>
          <t>ЧСМ в блоке
после разгрузки</t>
        </is>
      </c>
      <c r="G29" s="13" t="inlineStr">
        <is>
          <t>Полный срез
не уводит ЧСМ
(идеал)</t>
        </is>
      </c>
      <c r="H29" s="13" t="inlineStr">
        <is>
          <t>Безопасный
срез, МВт
(идеал)</t>
        </is>
      </c>
      <c r="I29" s="13" t="inlineStr">
        <is>
          <t>Частые часы ЧСМ
(час: дней)</t>
        </is>
      </c>
    </row>
    <row r="30">
      <c r="A30" s="4" t="inlineStr">
        <is>
          <t>июнь 2025</t>
        </is>
      </c>
      <c r="B30" s="14" t="n">
        <v>19</v>
      </c>
      <c r="C30" s="14" t="inlineStr">
        <is>
          <t>5-11,13-17</t>
        </is>
      </c>
      <c r="D30" s="14" t="inlineStr">
        <is>
          <t>13–16</t>
        </is>
      </c>
      <c r="E30" s="32" t="n">
        <v>0.8947000000000001</v>
      </c>
      <c r="F30" s="31" t="n">
        <v>0.6842</v>
      </c>
      <c r="G30" s="31" t="n">
        <v>0.6842</v>
      </c>
      <c r="H30" s="17" t="n">
        <v>13.87</v>
      </c>
      <c r="I30" s="4" t="inlineStr">
        <is>
          <t>15: 10, 14: 7, 11: 2</t>
        </is>
      </c>
    </row>
    <row r="31">
      <c r="A31" s="4" t="inlineStr">
        <is>
          <t>июль 2025</t>
        </is>
      </c>
      <c r="B31" s="14" t="n">
        <v>23</v>
      </c>
      <c r="C31" s="14" t="inlineStr">
        <is>
          <t>5-17</t>
        </is>
      </c>
      <c r="D31" s="14" t="inlineStr">
        <is>
          <t>14–17</t>
        </is>
      </c>
      <c r="E31" s="31" t="n">
        <v>0.7391</v>
      </c>
      <c r="F31" s="31" t="n">
        <v>0.6522</v>
      </c>
      <c r="G31" s="31" t="n">
        <v>0.7826</v>
      </c>
      <c r="H31" s="17" t="n">
        <v>16.14</v>
      </c>
      <c r="I31" s="4" t="inlineStr">
        <is>
          <t>15: 12, 11: 4, 14: 3, 17: 2</t>
        </is>
      </c>
    </row>
    <row r="32">
      <c r="A32" s="4" t="inlineStr">
        <is>
          <t>август 2025</t>
        </is>
      </c>
      <c r="B32" s="14" t="n">
        <v>21</v>
      </c>
      <c r="C32" s="14" t="inlineStr">
        <is>
          <t>5-10,14-17</t>
        </is>
      </c>
      <c r="D32" s="14" t="inlineStr">
        <is>
          <t>14–17</t>
        </is>
      </c>
      <c r="E32" s="32" t="n">
        <v>0.9048</v>
      </c>
      <c r="F32" s="32" t="n">
        <v>0.9048</v>
      </c>
      <c r="G32" s="32" t="n">
        <v>0.9048</v>
      </c>
      <c r="H32" s="17" t="n">
        <v>15.83</v>
      </c>
      <c r="I32" s="4" t="inlineStr">
        <is>
          <t>15: 9, 17: 7, 14: 3, 7: 1</t>
        </is>
      </c>
    </row>
    <row r="33">
      <c r="A33" s="4" t="inlineStr">
        <is>
          <t>сентябрь 2025</t>
        </is>
      </c>
      <c r="B33" s="14" t="n">
        <v>22</v>
      </c>
      <c r="C33" s="14" t="inlineStr">
        <is>
          <t>5-8,13-17</t>
        </is>
      </c>
      <c r="D33" s="14" t="inlineStr">
        <is>
          <t>14–17</t>
        </is>
      </c>
      <c r="E33" s="32" t="n">
        <v>1</v>
      </c>
      <c r="F33" s="32" t="n">
        <v>1</v>
      </c>
      <c r="G33" s="32" t="n">
        <v>1</v>
      </c>
      <c r="H33" s="17" t="n">
        <v>17</v>
      </c>
      <c r="I33" s="4" t="inlineStr">
        <is>
          <t>17: 17, 15: 3, 16: 2</t>
        </is>
      </c>
    </row>
    <row r="34">
      <c r="A34" s="4" t="inlineStr">
        <is>
          <t>октябрь 2025</t>
        </is>
      </c>
      <c r="B34" s="14" t="n">
        <v>23</v>
      </c>
      <c r="C34" s="14" t="inlineStr">
        <is>
          <t>5-8,12-17</t>
        </is>
      </c>
      <c r="D34" s="14" t="inlineStr">
        <is>
          <t>14–17</t>
        </is>
      </c>
      <c r="E34" s="32" t="n">
        <v>0.9565</v>
      </c>
      <c r="F34" s="32" t="n">
        <v>0.8696</v>
      </c>
      <c r="G34" s="32" t="n">
        <v>0.913</v>
      </c>
      <c r="H34" s="17" t="n">
        <v>16.53</v>
      </c>
      <c r="I34" s="4" t="inlineStr">
        <is>
          <t>15: 17, 16: 4, 17: 1, 8: 1</t>
        </is>
      </c>
    </row>
    <row r="35">
      <c r="A35" s="4" t="inlineStr">
        <is>
          <t>ноябрь 2025</t>
        </is>
      </c>
      <c r="B35" s="14" t="n">
        <v>19</v>
      </c>
      <c r="C35" s="14" t="inlineStr">
        <is>
          <t>5-8,11-17</t>
        </is>
      </c>
      <c r="D35" s="14" t="inlineStr">
        <is>
          <t>14–17</t>
        </is>
      </c>
      <c r="E35" s="32" t="n">
        <v>1</v>
      </c>
      <c r="F35" s="32" t="n">
        <v>1</v>
      </c>
      <c r="G35" s="32" t="n">
        <v>1</v>
      </c>
      <c r="H35" s="17" t="n">
        <v>17</v>
      </c>
      <c r="I35" s="4" t="inlineStr">
        <is>
          <t>15: 17, 16: 1, 17: 1</t>
        </is>
      </c>
    </row>
    <row r="36">
      <c r="A36" s="4" t="inlineStr">
        <is>
          <t>декабрь 2025</t>
        </is>
      </c>
      <c r="B36" s="14" t="n">
        <v>22</v>
      </c>
      <c r="C36" s="14" t="inlineStr">
        <is>
          <t>5-8,11-17</t>
        </is>
      </c>
      <c r="D36" s="14" t="inlineStr">
        <is>
          <t>14–17</t>
        </is>
      </c>
      <c r="E36" s="32" t="n">
        <v>1</v>
      </c>
      <c r="F36" s="32" t="n">
        <v>0.8636</v>
      </c>
      <c r="G36" s="32" t="n">
        <v>0.8636</v>
      </c>
      <c r="H36" s="17" t="n">
        <v>15.52</v>
      </c>
      <c r="I36" s="4" t="inlineStr">
        <is>
          <t>15: 18, 14: 2, 17: 2</t>
        </is>
      </c>
    </row>
    <row r="37">
      <c r="A37" s="4" t="inlineStr">
        <is>
          <t>январь 2026</t>
        </is>
      </c>
      <c r="B37" s="14" t="n">
        <v>15</v>
      </c>
      <c r="C37" s="14" t="inlineStr">
        <is>
          <t>5-8,11-17</t>
        </is>
      </c>
      <c r="D37" s="14" t="inlineStr">
        <is>
          <t>13–16</t>
        </is>
      </c>
      <c r="E37" s="32" t="n">
        <v>0.8667</v>
      </c>
      <c r="F37" s="32" t="n">
        <v>0.8</v>
      </c>
      <c r="G37" s="32" t="n">
        <v>0.8</v>
      </c>
      <c r="H37" s="17" t="n">
        <v>16.17</v>
      </c>
      <c r="I37" s="4" t="inlineStr">
        <is>
          <t>15: 13, 6: 1, 8: 1</t>
        </is>
      </c>
    </row>
    <row r="38">
      <c r="A38" s="4" t="inlineStr">
        <is>
          <t>февраль 2026</t>
        </is>
      </c>
      <c r="B38" s="14" t="n">
        <v>19</v>
      </c>
      <c r="C38" s="14" t="inlineStr">
        <is>
          <t>5-8,12-17</t>
        </is>
      </c>
      <c r="D38" s="14" t="inlineStr">
        <is>
          <t>14–17</t>
        </is>
      </c>
      <c r="E38" s="31" t="n">
        <v>0.7895</v>
      </c>
      <c r="F38" s="31" t="n">
        <v>0.7368</v>
      </c>
      <c r="G38" s="32" t="n">
        <v>0.8421</v>
      </c>
      <c r="H38" s="17" t="n">
        <v>16.35</v>
      </c>
      <c r="I38" s="4" t="inlineStr">
        <is>
          <t>15: 10, 16: 5, 6: 2, 7: 1</t>
        </is>
      </c>
    </row>
    <row r="39">
      <c r="A39" s="4" t="inlineStr">
        <is>
          <t>март 2026</t>
        </is>
      </c>
      <c r="B39" s="14" t="n">
        <v>21</v>
      </c>
      <c r="C39" s="14" t="inlineStr">
        <is>
          <t>5-8,13-17</t>
        </is>
      </c>
      <c r="D39" s="14" t="inlineStr">
        <is>
          <t>14–17</t>
        </is>
      </c>
      <c r="E39" s="32" t="n">
        <v>0.8095</v>
      </c>
      <c r="F39" s="31" t="n">
        <v>0.619</v>
      </c>
      <c r="G39" s="31" t="n">
        <v>0.7143</v>
      </c>
      <c r="H39" s="17" t="n">
        <v>15.13</v>
      </c>
      <c r="I39" s="4" t="inlineStr">
        <is>
          <t>17: 9, 16: 3, 15: 3, 6: 2</t>
        </is>
      </c>
    </row>
    <row r="40">
      <c r="A40" s="4" t="inlineStr">
        <is>
          <t>апрель 2026</t>
        </is>
      </c>
      <c r="B40" s="14" t="n">
        <v>22</v>
      </c>
      <c r="C40" s="14" t="inlineStr">
        <is>
          <t>5-8,13-17</t>
        </is>
      </c>
      <c r="D40" s="14" t="inlineStr">
        <is>
          <t>14–17</t>
        </is>
      </c>
      <c r="E40" s="32" t="n">
        <v>0.9091</v>
      </c>
      <c r="F40" s="32" t="n">
        <v>0.8182</v>
      </c>
      <c r="G40" s="32" t="n">
        <v>0.8636</v>
      </c>
      <c r="H40" s="17" t="n">
        <v>15.85</v>
      </c>
      <c r="I40" s="4" t="inlineStr">
        <is>
          <t>17: 16, 15: 2, 14: 2, 8: 1</t>
        </is>
      </c>
    </row>
    <row r="41">
      <c r="A41" s="4" t="inlineStr">
        <is>
          <t>май 2026</t>
        </is>
      </c>
      <c r="B41" s="14" t="n">
        <v>19</v>
      </c>
      <c r="C41" s="14" t="inlineStr">
        <is>
          <t>5-8,13-17</t>
        </is>
      </c>
      <c r="D41" s="14" t="inlineStr">
        <is>
          <t>14–17</t>
        </is>
      </c>
      <c r="E41" s="32" t="n">
        <v>0.8421</v>
      </c>
      <c r="F41" s="31" t="n">
        <v>0.6842</v>
      </c>
      <c r="G41" s="31" t="n">
        <v>0.7368</v>
      </c>
      <c r="H41" s="17" t="n">
        <v>14.04</v>
      </c>
      <c r="I41" s="4" t="inlineStr">
        <is>
          <t>15: 11, 17: 5, 6: 2, 7: 1</t>
        </is>
      </c>
    </row>
    <row r="43">
      <c r="A43" s="3" t="inlineStr">
        <is>
          <t>Республика Хакасия — по месяцам (срез 15 МВт)</t>
        </is>
      </c>
    </row>
    <row r="44" ht="50" customHeight="1">
      <c r="A44" s="13" t="inlineStr">
        <is>
          <t>Месяц</t>
        </is>
      </c>
      <c r="B44" s="13" t="inlineStr">
        <is>
          <t>Раб.
дней</t>
        </is>
      </c>
      <c r="C44" s="13" t="inlineStr">
        <is>
          <t>Окно СО ЕЭС, МСК</t>
        </is>
      </c>
      <c r="D44" s="13" t="inlineStr">
        <is>
          <t>Лучший
блок</t>
        </is>
      </c>
      <c r="E44" s="13" t="inlineStr">
        <is>
          <t>ЧСМ в блоке
без разгрузки</t>
        </is>
      </c>
      <c r="F44" s="13" t="inlineStr">
        <is>
          <t>ЧСМ в блоке
после разгрузки</t>
        </is>
      </c>
      <c r="G44" s="13" t="inlineStr">
        <is>
          <t>Полный срез
не уводит ЧСМ
(идеал)</t>
        </is>
      </c>
      <c r="H44" s="13" t="inlineStr">
        <is>
          <t>Безопасный
срез, МВт
(идеал)</t>
        </is>
      </c>
      <c r="I44" s="13" t="inlineStr">
        <is>
          <t>Частые часы ЧСМ
(час: дней)</t>
        </is>
      </c>
    </row>
    <row r="45">
      <c r="A45" s="4" t="inlineStr">
        <is>
          <t>июнь 2025</t>
        </is>
      </c>
      <c r="B45" s="14" t="n">
        <v>19</v>
      </c>
      <c r="C45" s="14" t="inlineStr">
        <is>
          <t>5-11,13-17</t>
        </is>
      </c>
      <c r="D45" s="14" t="inlineStr">
        <is>
          <t>13–16</t>
        </is>
      </c>
      <c r="E45" s="31" t="n">
        <v>0.3684</v>
      </c>
      <c r="F45" s="31" t="n">
        <v>0.0526</v>
      </c>
      <c r="G45" s="31" t="n">
        <v>0.0526</v>
      </c>
      <c r="H45" s="17" t="n">
        <v>7.78</v>
      </c>
      <c r="I45" s="4" t="inlineStr">
        <is>
          <t>13: 4, 7: 3, 10: 3, 17: 2</t>
        </is>
      </c>
    </row>
    <row r="46">
      <c r="A46" s="4" t="inlineStr">
        <is>
          <t>июль 2025</t>
        </is>
      </c>
      <c r="B46" s="14" t="n">
        <v>23</v>
      </c>
      <c r="C46" s="14" t="inlineStr">
        <is>
          <t>5-17</t>
        </is>
      </c>
      <c r="D46" s="14" t="inlineStr">
        <is>
          <t>11–14</t>
        </is>
      </c>
      <c r="E46" s="31" t="n">
        <v>0.4348</v>
      </c>
      <c r="F46" s="31" t="n">
        <v>0.08699999999999999</v>
      </c>
      <c r="G46" s="31" t="n">
        <v>0.2174</v>
      </c>
      <c r="H46" s="17" t="n">
        <v>9.050000000000001</v>
      </c>
      <c r="I46" s="4" t="inlineStr">
        <is>
          <t>12: 5, 8: 3, 9: 3, 13: 3</t>
        </is>
      </c>
    </row>
    <row r="47">
      <c r="A47" s="4" t="inlineStr">
        <is>
          <t>август 2025</t>
        </is>
      </c>
      <c r="B47" s="14" t="n">
        <v>21</v>
      </c>
      <c r="C47" s="14" t="inlineStr">
        <is>
          <t>5-10,14-17</t>
        </is>
      </c>
      <c r="D47" s="14" t="inlineStr">
        <is>
          <t>14–17</t>
        </is>
      </c>
      <c r="E47" s="31" t="n">
        <v>0.4762</v>
      </c>
      <c r="F47" s="31" t="n">
        <v>0.2381</v>
      </c>
      <c r="G47" s="31" t="n">
        <v>0.2381</v>
      </c>
      <c r="H47" s="17" t="n">
        <v>8.16</v>
      </c>
      <c r="I47" s="4" t="inlineStr">
        <is>
          <t>15: 6, 6: 3, 9: 3, 8: 3</t>
        </is>
      </c>
    </row>
    <row r="48">
      <c r="A48" s="4" t="inlineStr">
        <is>
          <t>сентябрь 2025</t>
        </is>
      </c>
      <c r="B48" s="14" t="n">
        <v>22</v>
      </c>
      <c r="C48" s="14" t="inlineStr">
        <is>
          <t>5-8,13-17</t>
        </is>
      </c>
      <c r="D48" s="14" t="inlineStr">
        <is>
          <t>14–17</t>
        </is>
      </c>
      <c r="E48" s="31" t="n">
        <v>0.7272999999999999</v>
      </c>
      <c r="F48" s="31" t="n">
        <v>0.3636</v>
      </c>
      <c r="G48" s="31" t="n">
        <v>0.4545</v>
      </c>
      <c r="H48" s="17" t="n">
        <v>10.2</v>
      </c>
      <c r="I48" s="4" t="inlineStr">
        <is>
          <t>17: 7, 15: 5, 6: 3, 16: 3</t>
        </is>
      </c>
    </row>
    <row r="49">
      <c r="A49" s="4" t="inlineStr">
        <is>
          <t>октябрь 2025</t>
        </is>
      </c>
      <c r="B49" s="14" t="n">
        <v>23</v>
      </c>
      <c r="C49" s="14" t="inlineStr">
        <is>
          <t>5-8,12-17</t>
        </is>
      </c>
      <c r="D49" s="14" t="inlineStr">
        <is>
          <t>14–17</t>
        </is>
      </c>
      <c r="E49" s="31" t="n">
        <v>0.5652</v>
      </c>
      <c r="F49" s="31" t="n">
        <v>0.1739</v>
      </c>
      <c r="G49" s="31" t="n">
        <v>0.2174</v>
      </c>
      <c r="H49" s="17" t="n">
        <v>7.48</v>
      </c>
      <c r="I49" s="4" t="inlineStr">
        <is>
          <t>15: 10, 6: 5, 7: 3, 17: 2</t>
        </is>
      </c>
    </row>
    <row r="50">
      <c r="A50" s="4" t="inlineStr">
        <is>
          <t>ноябрь 2025</t>
        </is>
      </c>
      <c r="B50" s="14" t="n">
        <v>19</v>
      </c>
      <c r="C50" s="14" t="inlineStr">
        <is>
          <t>5-8,11-17</t>
        </is>
      </c>
      <c r="D50" s="14" t="inlineStr">
        <is>
          <t>13–16</t>
        </is>
      </c>
      <c r="E50" s="31" t="n">
        <v>0.7368</v>
      </c>
      <c r="F50" s="31" t="n">
        <v>0.4737</v>
      </c>
      <c r="G50" s="31" t="n">
        <v>0.5263</v>
      </c>
      <c r="H50" s="17" t="n">
        <v>11.95</v>
      </c>
      <c r="I50" s="4" t="inlineStr">
        <is>
          <t>15: 10, 14: 4, 8: 2, 7: 2</t>
        </is>
      </c>
    </row>
    <row r="51">
      <c r="A51" s="4" t="inlineStr">
        <is>
          <t>декабрь 2025</t>
        </is>
      </c>
      <c r="B51" s="14" t="n">
        <v>22</v>
      </c>
      <c r="C51" s="14" t="inlineStr">
        <is>
          <t>5-8,11-17</t>
        </is>
      </c>
      <c r="D51" s="14" t="inlineStr">
        <is>
          <t>12–15</t>
        </is>
      </c>
      <c r="E51" s="31" t="n">
        <v>0.5909</v>
      </c>
      <c r="F51" s="31" t="n">
        <v>0.2273</v>
      </c>
      <c r="G51" s="31" t="n">
        <v>0.3182</v>
      </c>
      <c r="H51" s="17" t="n">
        <v>10.68</v>
      </c>
      <c r="I51" s="4" t="inlineStr">
        <is>
          <t>15: 6, 8: 5, 14: 4, 6: 3</t>
        </is>
      </c>
    </row>
    <row r="52">
      <c r="A52" s="4" t="inlineStr">
        <is>
          <t>январь 2026</t>
        </is>
      </c>
      <c r="B52" s="14" t="n">
        <v>15</v>
      </c>
      <c r="C52" s="14" t="inlineStr">
        <is>
          <t>5-8,11-17</t>
        </is>
      </c>
      <c r="D52" s="14" t="inlineStr">
        <is>
          <t>12–15</t>
        </is>
      </c>
      <c r="E52" s="31" t="n">
        <v>0.5333</v>
      </c>
      <c r="F52" s="31" t="n">
        <v>0.2</v>
      </c>
      <c r="G52" s="31" t="n">
        <v>0.2667</v>
      </c>
      <c r="H52" s="17" t="n">
        <v>8.41</v>
      </c>
      <c r="I52" s="4" t="inlineStr">
        <is>
          <t>15: 8, 7: 4, 6: 3</t>
        </is>
      </c>
    </row>
    <row r="53">
      <c r="A53" s="4" t="inlineStr">
        <is>
          <t>февраль 2026</t>
        </is>
      </c>
      <c r="B53" s="14" t="n">
        <v>19</v>
      </c>
      <c r="C53" s="14" t="inlineStr">
        <is>
          <t>5-8,12-17</t>
        </is>
      </c>
      <c r="D53" s="14" t="inlineStr">
        <is>
          <t>5–8</t>
        </is>
      </c>
      <c r="E53" s="31" t="n">
        <v>0.4737</v>
      </c>
      <c r="F53" s="31" t="n">
        <v>0.2632</v>
      </c>
      <c r="G53" s="31" t="n">
        <v>0.3684</v>
      </c>
      <c r="H53" s="17" t="n">
        <v>10.56</v>
      </c>
      <c r="I53" s="4" t="inlineStr">
        <is>
          <t>15: 9, 7: 5, 6: 3, 8: 1</t>
        </is>
      </c>
    </row>
    <row r="54">
      <c r="A54" s="4" t="inlineStr">
        <is>
          <t>март 2026</t>
        </is>
      </c>
      <c r="B54" s="14" t="n">
        <v>21</v>
      </c>
      <c r="C54" s="14" t="inlineStr">
        <is>
          <t>5-8,13-17</t>
        </is>
      </c>
      <c r="D54" s="14" t="inlineStr">
        <is>
          <t>5–8</t>
        </is>
      </c>
      <c r="E54" s="31" t="n">
        <v>0.4286</v>
      </c>
      <c r="F54" s="31" t="n">
        <v>0.2381</v>
      </c>
      <c r="G54" s="31" t="n">
        <v>0.381</v>
      </c>
      <c r="H54" s="17" t="n">
        <v>8.779999999999999</v>
      </c>
      <c r="I54" s="4" t="inlineStr">
        <is>
          <t>15: 6, 6: 4, 7: 3, 8: 2</t>
        </is>
      </c>
    </row>
    <row r="55">
      <c r="A55" s="4" t="inlineStr">
        <is>
          <t>апрель 2026</t>
        </is>
      </c>
      <c r="B55" s="14" t="n">
        <v>22</v>
      </c>
      <c r="C55" s="14" t="inlineStr">
        <is>
          <t>5-8,13-17</t>
        </is>
      </c>
      <c r="D55" s="14" t="inlineStr">
        <is>
          <t>14–17</t>
        </is>
      </c>
      <c r="E55" s="31" t="n">
        <v>0.5</v>
      </c>
      <c r="F55" s="31" t="n">
        <v>0.1364</v>
      </c>
      <c r="G55" s="31" t="n">
        <v>0.2727</v>
      </c>
      <c r="H55" s="17" t="n">
        <v>9.619999999999999</v>
      </c>
      <c r="I55" s="4" t="inlineStr">
        <is>
          <t>17: 7, 6: 4, 7: 3, 13: 2</t>
        </is>
      </c>
    </row>
    <row r="56">
      <c r="A56" s="4" t="inlineStr">
        <is>
          <t>май 2026</t>
        </is>
      </c>
      <c r="B56" s="14" t="n">
        <v>19</v>
      </c>
      <c r="C56" s="14" t="inlineStr">
        <is>
          <t>5-8,13-17</t>
        </is>
      </c>
      <c r="D56" s="14" t="inlineStr">
        <is>
          <t>5–8</t>
        </is>
      </c>
      <c r="E56" s="32" t="n">
        <v>0.8421</v>
      </c>
      <c r="F56" s="31" t="n">
        <v>0.3158</v>
      </c>
      <c r="G56" s="31" t="n">
        <v>0.3684</v>
      </c>
      <c r="H56" s="17" t="n">
        <v>10.69</v>
      </c>
      <c r="I56" s="4" t="inlineStr">
        <is>
          <t>6: 9, 7: 6, 15: 2, 17: 1</t>
        </is>
      </c>
    </row>
    <row r="58">
      <c r="A58" s="3" t="inlineStr">
        <is>
          <t>Волгоградская область — по месяцам (срез 3 МВт)</t>
        </is>
      </c>
    </row>
    <row r="59" ht="50" customHeight="1">
      <c r="A59" s="13" t="inlineStr">
        <is>
          <t>Месяц</t>
        </is>
      </c>
      <c r="B59" s="13" t="inlineStr">
        <is>
          <t>Раб.
дней</t>
        </is>
      </c>
      <c r="C59" s="13" t="inlineStr">
        <is>
          <t>Окно СО ЕЭС, МСК</t>
        </is>
      </c>
      <c r="D59" s="13" t="inlineStr">
        <is>
          <t>Лучший
блок</t>
        </is>
      </c>
      <c r="E59" s="13" t="inlineStr">
        <is>
          <t>ЧСМ в блоке
без разгрузки</t>
        </is>
      </c>
      <c r="F59" s="13" t="inlineStr">
        <is>
          <t>ЧСМ в блоке
после разгрузки</t>
        </is>
      </c>
      <c r="G59" s="13" t="inlineStr">
        <is>
          <t>Полный срез
не уводит ЧСМ
(идеал)</t>
        </is>
      </c>
      <c r="H59" s="13" t="inlineStr">
        <is>
          <t>Безопасный
срез, МВт
(идеал)</t>
        </is>
      </c>
      <c r="I59" s="13" t="inlineStr">
        <is>
          <t>Частые часы ЧСМ
(час: дней)</t>
        </is>
      </c>
    </row>
    <row r="60">
      <c r="A60" s="4" t="inlineStr">
        <is>
          <t>июнь 2025</t>
        </is>
      </c>
      <c r="B60" s="14" t="n">
        <v>19</v>
      </c>
      <c r="C60" s="14" t="inlineStr">
        <is>
          <t>8-16,20-21</t>
        </is>
      </c>
      <c r="D60" s="14" t="inlineStr">
        <is>
          <t>11–14</t>
        </is>
      </c>
      <c r="E60" s="31" t="n">
        <v>0.6316000000000001</v>
      </c>
      <c r="F60" s="31" t="n">
        <v>0.5789</v>
      </c>
      <c r="G60" s="32" t="n">
        <v>0.8947000000000001</v>
      </c>
      <c r="H60" s="17" t="n">
        <v>2.81</v>
      </c>
      <c r="I60" s="4" t="inlineStr">
        <is>
          <t>13: 4, 14: 3, 16: 3, 12: 3</t>
        </is>
      </c>
    </row>
    <row r="61">
      <c r="A61" s="4" t="inlineStr">
        <is>
          <t>июль 2025</t>
        </is>
      </c>
      <c r="B61" s="14" t="n">
        <v>23</v>
      </c>
      <c r="C61" s="14" t="inlineStr">
        <is>
          <t>8-17,20-21</t>
        </is>
      </c>
      <c r="D61" s="14" t="inlineStr">
        <is>
          <t>14–17</t>
        </is>
      </c>
      <c r="E61" s="31" t="n">
        <v>0.6957</v>
      </c>
      <c r="F61" s="31" t="n">
        <v>0.6957</v>
      </c>
      <c r="G61" s="32" t="n">
        <v>1</v>
      </c>
      <c r="H61" s="17" t="n">
        <v>3</v>
      </c>
      <c r="I61" s="4" t="inlineStr">
        <is>
          <t>16: 6, 14: 5, 15: 4, 12: 3</t>
        </is>
      </c>
    </row>
    <row r="62">
      <c r="A62" s="4" t="inlineStr">
        <is>
          <t>август 2025</t>
        </is>
      </c>
      <c r="B62" s="14" t="n">
        <v>21</v>
      </c>
      <c r="C62" s="14" t="inlineStr">
        <is>
          <t>8-21</t>
        </is>
      </c>
      <c r="D62" s="14" t="inlineStr">
        <is>
          <t>14–17</t>
        </is>
      </c>
      <c r="E62" s="32" t="n">
        <v>0.8571</v>
      </c>
      <c r="F62" s="31" t="n">
        <v>0.7619</v>
      </c>
      <c r="G62" s="32" t="n">
        <v>0.9048</v>
      </c>
      <c r="H62" s="17" t="n">
        <v>2.86</v>
      </c>
      <c r="I62" s="4" t="inlineStr">
        <is>
          <t>15: 7, 16: 7, 11: 2, 17: 2</t>
        </is>
      </c>
    </row>
    <row r="63">
      <c r="A63" s="4" t="inlineStr">
        <is>
          <t>сентябрь 2025</t>
        </is>
      </c>
      <c r="B63" s="14" t="n">
        <v>22</v>
      </c>
      <c r="C63" s="14" t="inlineStr">
        <is>
          <t>8-15,18-21</t>
        </is>
      </c>
      <c r="D63" s="14" t="inlineStr">
        <is>
          <t>18–21</t>
        </is>
      </c>
      <c r="E63" s="31" t="n">
        <v>0.5455</v>
      </c>
      <c r="F63" s="31" t="n">
        <v>0.5</v>
      </c>
      <c r="G63" s="32" t="n">
        <v>0.9091</v>
      </c>
      <c r="H63" s="17" t="n">
        <v>2.89</v>
      </c>
      <c r="I63" s="4" t="inlineStr">
        <is>
          <t>19: 9, 10: 4, 13: 3, 20: 3</t>
        </is>
      </c>
    </row>
    <row r="64">
      <c r="A64" s="4" t="inlineStr">
        <is>
          <t>октябрь 2025</t>
        </is>
      </c>
      <c r="B64" s="14" t="n">
        <v>23</v>
      </c>
      <c r="C64" s="14" t="inlineStr">
        <is>
          <t>8-21</t>
        </is>
      </c>
      <c r="D64" s="14" t="inlineStr">
        <is>
          <t>18–21</t>
        </is>
      </c>
      <c r="E64" s="31" t="n">
        <v>0.5652</v>
      </c>
      <c r="F64" s="31" t="n">
        <v>0.5652</v>
      </c>
      <c r="G64" s="32" t="n">
        <v>0.9565</v>
      </c>
      <c r="H64" s="17" t="n">
        <v>3</v>
      </c>
      <c r="I64" s="4" t="inlineStr">
        <is>
          <t>19: 7, 10: 4, 20: 3, 14: 2</t>
        </is>
      </c>
    </row>
    <row r="65">
      <c r="A65" s="4" t="inlineStr">
        <is>
          <t>ноябрь 2025</t>
        </is>
      </c>
      <c r="B65" s="14" t="n">
        <v>19</v>
      </c>
      <c r="C65" s="14" t="inlineStr">
        <is>
          <t>8-11,16-21</t>
        </is>
      </c>
      <c r="D65" s="14" t="inlineStr">
        <is>
          <t>16–19</t>
        </is>
      </c>
      <c r="E65" s="31" t="n">
        <v>0.5263</v>
      </c>
      <c r="F65" s="31" t="n">
        <v>0.5263</v>
      </c>
      <c r="G65" s="32" t="n">
        <v>1</v>
      </c>
      <c r="H65" s="17" t="n">
        <v>3</v>
      </c>
      <c r="I65" s="4" t="inlineStr">
        <is>
          <t>18: 7, 10: 5, 11: 4, 17: 3</t>
        </is>
      </c>
    </row>
    <row r="66">
      <c r="A66" s="4" t="inlineStr">
        <is>
          <t>декабрь 2025</t>
        </is>
      </c>
      <c r="B66" s="14" t="n">
        <v>22</v>
      </c>
      <c r="C66" s="14" t="inlineStr">
        <is>
          <t>8-12,15-21</t>
        </is>
      </c>
      <c r="D66" s="14" t="inlineStr">
        <is>
          <t>15–18</t>
        </is>
      </c>
      <c r="E66" s="31" t="n">
        <v>0.7272999999999999</v>
      </c>
      <c r="F66" s="31" t="n">
        <v>0.7272999999999999</v>
      </c>
      <c r="G66" s="32" t="n">
        <v>0.9091</v>
      </c>
      <c r="H66" s="17" t="n">
        <v>2.78</v>
      </c>
      <c r="I66" s="4" t="inlineStr">
        <is>
          <t>18: 8, 12: 4, 17: 3, 15: 3</t>
        </is>
      </c>
    </row>
    <row r="67">
      <c r="A67" s="4" t="inlineStr">
        <is>
          <t>январь 2026</t>
        </is>
      </c>
      <c r="B67" s="14" t="n">
        <v>15</v>
      </c>
      <c r="C67" s="14" t="inlineStr">
        <is>
          <t>8-21</t>
        </is>
      </c>
      <c r="D67" s="14" t="inlineStr">
        <is>
          <t>10–13</t>
        </is>
      </c>
      <c r="E67" s="31" t="n">
        <v>0.4667</v>
      </c>
      <c r="F67" s="31" t="n">
        <v>0.4</v>
      </c>
      <c r="G67" s="32" t="n">
        <v>0.9333</v>
      </c>
      <c r="H67" s="17" t="n">
        <v>2.86</v>
      </c>
      <c r="I67" s="4" t="inlineStr">
        <is>
          <t>17: 3, 10: 3, 16: 2, 11: 2</t>
        </is>
      </c>
    </row>
    <row r="68">
      <c r="A68" s="4" t="inlineStr">
        <is>
          <t>февраль 2026</t>
        </is>
      </c>
      <c r="B68" s="14" t="n">
        <v>19</v>
      </c>
      <c r="C68" s="14" t="inlineStr">
        <is>
          <t>8-13,17-21</t>
        </is>
      </c>
      <c r="D68" s="14" t="inlineStr">
        <is>
          <t>9–12</t>
        </is>
      </c>
      <c r="E68" s="31" t="n">
        <v>0.7895</v>
      </c>
      <c r="F68" s="31" t="n">
        <v>0.7895</v>
      </c>
      <c r="G68" s="32" t="n">
        <v>1</v>
      </c>
      <c r="H68" s="17" t="n">
        <v>3</v>
      </c>
      <c r="I68" s="4" t="inlineStr">
        <is>
          <t>10: 7, 11: 6, 19: 2, 12: 1</t>
        </is>
      </c>
    </row>
    <row r="69">
      <c r="A69" s="4" t="inlineStr">
        <is>
          <t>март 2026</t>
        </is>
      </c>
      <c r="B69" s="14" t="n">
        <v>21</v>
      </c>
      <c r="C69" s="14" t="inlineStr">
        <is>
          <t>8-21</t>
        </is>
      </c>
      <c r="D69" s="14" t="inlineStr">
        <is>
          <t>10–13</t>
        </is>
      </c>
      <c r="E69" s="31" t="n">
        <v>0.6667</v>
      </c>
      <c r="F69" s="31" t="n">
        <v>0.5714</v>
      </c>
      <c r="G69" s="32" t="n">
        <v>0.9048</v>
      </c>
      <c r="H69" s="17" t="n">
        <v>2.95</v>
      </c>
      <c r="I69" s="4" t="inlineStr">
        <is>
          <t>11: 7, 10: 5, 19: 3, 14: 2</t>
        </is>
      </c>
    </row>
    <row r="70">
      <c r="A70" s="4" t="inlineStr">
        <is>
          <t>апрель 2026</t>
        </is>
      </c>
      <c r="B70" s="14" t="n">
        <v>22</v>
      </c>
      <c r="C70" s="14" t="inlineStr">
        <is>
          <t>8-15,18-21</t>
        </is>
      </c>
      <c r="D70" s="14" t="inlineStr">
        <is>
          <t>12–15</t>
        </is>
      </c>
      <c r="E70" s="31" t="n">
        <v>0.5</v>
      </c>
      <c r="F70" s="31" t="n">
        <v>0.4545</v>
      </c>
      <c r="G70" s="32" t="n">
        <v>0.9545</v>
      </c>
      <c r="H70" s="17" t="n">
        <v>2.88</v>
      </c>
      <c r="I70" s="4" t="inlineStr">
        <is>
          <t>14: 4, 10: 4, 20: 3, 12: 3</t>
        </is>
      </c>
    </row>
    <row r="71">
      <c r="A71" s="4" t="inlineStr">
        <is>
          <t>май 2026</t>
        </is>
      </c>
      <c r="B71" s="14" t="n">
        <v>19</v>
      </c>
      <c r="C71" s="14" t="inlineStr">
        <is>
          <t>8-15,20-21</t>
        </is>
      </c>
      <c r="D71" s="14" t="inlineStr">
        <is>
          <t>11–14</t>
        </is>
      </c>
      <c r="E71" s="31" t="n">
        <v>0.6316000000000001</v>
      </c>
      <c r="F71" s="31" t="n">
        <v>0.5263</v>
      </c>
      <c r="G71" s="31" t="n">
        <v>0.7368</v>
      </c>
      <c r="H71" s="17" t="n">
        <v>2.41</v>
      </c>
      <c r="I71" s="4" t="inlineStr">
        <is>
          <t>14: 5, 12: 4, 21: 3, 10: 2</t>
        </is>
      </c>
    </row>
    <row r="73">
      <c r="A73" s="3" t="inlineStr">
        <is>
          <t>Красноярский край — по месяцам (срез 49 МВт)</t>
        </is>
      </c>
    </row>
    <row r="74" ht="50" customHeight="1">
      <c r="A74" s="13" t="inlineStr">
        <is>
          <t>Месяц</t>
        </is>
      </c>
      <c r="B74" s="13" t="inlineStr">
        <is>
          <t>Раб.
дней</t>
        </is>
      </c>
      <c r="C74" s="13" t="inlineStr">
        <is>
          <t>Окно СО ЕЭС, МСК</t>
        </is>
      </c>
      <c r="D74" s="13" t="inlineStr">
        <is>
          <t>Лучший
блок</t>
        </is>
      </c>
      <c r="E74" s="13" t="inlineStr">
        <is>
          <t>ЧСМ в блоке
без разгрузки</t>
        </is>
      </c>
      <c r="F74" s="13" t="inlineStr">
        <is>
          <t>ЧСМ в блоке
после разгрузки</t>
        </is>
      </c>
      <c r="G74" s="13" t="inlineStr">
        <is>
          <t>Полный срез
не уводит ЧСМ
(идеал)</t>
        </is>
      </c>
      <c r="H74" s="13" t="inlineStr">
        <is>
          <t>Безопасный
срез, МВт
(идеал)</t>
        </is>
      </c>
      <c r="I74" s="13" t="inlineStr">
        <is>
          <t>Частые часы ЧСМ
(час: дней)</t>
        </is>
      </c>
    </row>
    <row r="75">
      <c r="A75" s="4" t="inlineStr">
        <is>
          <t>июнь 2025</t>
        </is>
      </c>
      <c r="B75" s="14" t="n">
        <v>19</v>
      </c>
      <c r="C75" s="14" t="inlineStr">
        <is>
          <t>5-11,13-17</t>
        </is>
      </c>
      <c r="D75" s="14" t="inlineStr">
        <is>
          <t>6–9</t>
        </is>
      </c>
      <c r="E75" s="31" t="n">
        <v>0.6842</v>
      </c>
      <c r="F75" s="31" t="n">
        <v>0.1053</v>
      </c>
      <c r="G75" s="31" t="n">
        <v>0.1579</v>
      </c>
      <c r="H75" s="17" t="n">
        <v>31.63</v>
      </c>
      <c r="I75" s="4" t="inlineStr">
        <is>
          <t>8: 4, 7: 4, 6: 3, 10: 3</t>
        </is>
      </c>
    </row>
    <row r="76">
      <c r="A76" s="4" t="inlineStr">
        <is>
          <t>июль 2025</t>
        </is>
      </c>
      <c r="B76" s="14" t="n">
        <v>23</v>
      </c>
      <c r="C76" s="14" t="inlineStr">
        <is>
          <t>5-17</t>
        </is>
      </c>
      <c r="D76" s="14" t="inlineStr">
        <is>
          <t>7–10</t>
        </is>
      </c>
      <c r="E76" s="32" t="n">
        <v>0.8260999999999999</v>
      </c>
      <c r="F76" s="31" t="n">
        <v>0</v>
      </c>
      <c r="G76" s="31" t="n">
        <v>0</v>
      </c>
      <c r="H76" s="17" t="n">
        <v>21.09</v>
      </c>
      <c r="I76" s="4" t="inlineStr">
        <is>
          <t>8: 11, 7: 4, 10: 3, 12: 2</t>
        </is>
      </c>
    </row>
    <row r="77">
      <c r="A77" s="4" t="inlineStr">
        <is>
          <t>август 2025</t>
        </is>
      </c>
      <c r="B77" s="14" t="n">
        <v>21</v>
      </c>
      <c r="C77" s="14" t="inlineStr">
        <is>
          <t>5-10,14-17</t>
        </is>
      </c>
      <c r="D77" s="14" t="inlineStr">
        <is>
          <t>7–10</t>
        </is>
      </c>
      <c r="E77" s="31" t="n">
        <v>0.7143</v>
      </c>
      <c r="F77" s="31" t="n">
        <v>0.09520000000000001</v>
      </c>
      <c r="G77" s="31" t="n">
        <v>0.1905</v>
      </c>
      <c r="H77" s="17" t="n">
        <v>23.92</v>
      </c>
      <c r="I77" s="4" t="inlineStr">
        <is>
          <t>8: 9, 17: 4, 7: 3, 10: 2</t>
        </is>
      </c>
    </row>
    <row r="78">
      <c r="A78" s="4" t="inlineStr">
        <is>
          <t>сентябрь 2025</t>
        </is>
      </c>
      <c r="B78" s="14" t="n">
        <v>22</v>
      </c>
      <c r="C78" s="14" t="inlineStr">
        <is>
          <t>5-8,13-17</t>
        </is>
      </c>
      <c r="D78" s="14" t="inlineStr">
        <is>
          <t>14–17</t>
        </is>
      </c>
      <c r="E78" s="31" t="n">
        <v>0.6364</v>
      </c>
      <c r="F78" s="31" t="n">
        <v>0.2727</v>
      </c>
      <c r="G78" s="31" t="n">
        <v>0.3636</v>
      </c>
      <c r="H78" s="17" t="n">
        <v>31.95</v>
      </c>
      <c r="I78" s="4" t="inlineStr">
        <is>
          <t>17: 9, 16: 4, 8: 3, 6: 3</t>
        </is>
      </c>
    </row>
    <row r="79">
      <c r="A79" s="4" t="inlineStr">
        <is>
          <t>октябрь 2025</t>
        </is>
      </c>
      <c r="B79" s="14" t="n">
        <v>23</v>
      </c>
      <c r="C79" s="14" t="inlineStr">
        <is>
          <t>5-8,12-17</t>
        </is>
      </c>
      <c r="D79" s="14" t="inlineStr">
        <is>
          <t>5–8</t>
        </is>
      </c>
      <c r="E79" s="31" t="n">
        <v>0.3043</v>
      </c>
      <c r="F79" s="31" t="n">
        <v>0.1739</v>
      </c>
      <c r="G79" s="31" t="n">
        <v>0.2174</v>
      </c>
      <c r="H79" s="17" t="n">
        <v>25.15</v>
      </c>
      <c r="I79" s="4" t="inlineStr">
        <is>
          <t>15: 9, 8: 4, 16: 3, 6: 2</t>
        </is>
      </c>
    </row>
    <row r="80">
      <c r="A80" s="4" t="inlineStr">
        <is>
          <t>ноябрь 2025</t>
        </is>
      </c>
      <c r="B80" s="14" t="n">
        <v>19</v>
      </c>
      <c r="C80" s="14" t="inlineStr">
        <is>
          <t>5-8,11-17</t>
        </is>
      </c>
      <c r="D80" s="14" t="inlineStr">
        <is>
          <t>13–16</t>
        </is>
      </c>
      <c r="E80" s="31" t="n">
        <v>0.6842</v>
      </c>
      <c r="F80" s="31" t="n">
        <v>0.2105</v>
      </c>
      <c r="G80" s="31" t="n">
        <v>0.2632</v>
      </c>
      <c r="H80" s="17" t="n">
        <v>31.03</v>
      </c>
      <c r="I80" s="4" t="inlineStr">
        <is>
          <t>14: 12, 8: 4, 16: 1, 6: 1</t>
        </is>
      </c>
    </row>
    <row r="81">
      <c r="A81" s="4" t="inlineStr">
        <is>
          <t>декабрь 2025</t>
        </is>
      </c>
      <c r="B81" s="14" t="n">
        <v>22</v>
      </c>
      <c r="C81" s="14" t="inlineStr">
        <is>
          <t>5-8,11-17</t>
        </is>
      </c>
      <c r="D81" s="14" t="inlineStr">
        <is>
          <t>13–16</t>
        </is>
      </c>
      <c r="E81" s="31" t="n">
        <v>0.5455</v>
      </c>
      <c r="F81" s="31" t="n">
        <v>0.09089999999999999</v>
      </c>
      <c r="G81" s="31" t="n">
        <v>0.1364</v>
      </c>
      <c r="H81" s="17" t="n">
        <v>22.97</v>
      </c>
      <c r="I81" s="4" t="inlineStr">
        <is>
          <t>14: 9, 6: 3, 8: 3, 15: 2</t>
        </is>
      </c>
    </row>
    <row r="82">
      <c r="A82" s="4" t="inlineStr">
        <is>
          <t>январь 2026</t>
        </is>
      </c>
      <c r="B82" s="14" t="n">
        <v>15</v>
      </c>
      <c r="C82" s="14" t="inlineStr">
        <is>
          <t>5-8,11-17</t>
        </is>
      </c>
      <c r="D82" s="14" t="inlineStr">
        <is>
          <t>5–8</t>
        </is>
      </c>
      <c r="E82" s="31" t="n">
        <v>0.6</v>
      </c>
      <c r="F82" s="31" t="n">
        <v>0.2667</v>
      </c>
      <c r="G82" s="31" t="n">
        <v>0.3333</v>
      </c>
      <c r="H82" s="17" t="n">
        <v>30.86</v>
      </c>
      <c r="I82" s="4" t="inlineStr">
        <is>
          <t>8: 4, 15: 3, 7: 3, 14: 2</t>
        </is>
      </c>
    </row>
    <row r="83">
      <c r="A83" s="4" t="inlineStr">
        <is>
          <t>февраль 2026</t>
        </is>
      </c>
      <c r="B83" s="14" t="n">
        <v>19</v>
      </c>
      <c r="C83" s="14" t="inlineStr">
        <is>
          <t>5-8,12-17</t>
        </is>
      </c>
      <c r="D83" s="14" t="inlineStr">
        <is>
          <t>5–8</t>
        </is>
      </c>
      <c r="E83" s="31" t="n">
        <v>0.7895</v>
      </c>
      <c r="F83" s="31" t="n">
        <v>0.3684</v>
      </c>
      <c r="G83" s="31" t="n">
        <v>0.5263</v>
      </c>
      <c r="H83" s="17" t="n">
        <v>35.99</v>
      </c>
      <c r="I83" s="4" t="inlineStr">
        <is>
          <t>6: 6, 8: 6, 7: 3, 15: 2</t>
        </is>
      </c>
    </row>
    <row r="84">
      <c r="A84" s="4" t="inlineStr">
        <is>
          <t>март 2026</t>
        </is>
      </c>
      <c r="B84" s="14" t="n">
        <v>21</v>
      </c>
      <c r="C84" s="14" t="inlineStr">
        <is>
          <t>5-8,13-17</t>
        </is>
      </c>
      <c r="D84" s="14" t="inlineStr">
        <is>
          <t>5–8</t>
        </is>
      </c>
      <c r="E84" s="32" t="n">
        <v>0.9524</v>
      </c>
      <c r="F84" s="31" t="n">
        <v>0.5714</v>
      </c>
      <c r="G84" s="31" t="n">
        <v>0.619</v>
      </c>
      <c r="H84" s="17" t="n">
        <v>36.65</v>
      </c>
      <c r="I84" s="4" t="inlineStr">
        <is>
          <t>6: 10, 8: 5, 7: 4, 5: 1</t>
        </is>
      </c>
    </row>
    <row r="85">
      <c r="A85" s="4" t="inlineStr">
        <is>
          <t>апрель 2026</t>
        </is>
      </c>
      <c r="B85" s="14" t="n">
        <v>22</v>
      </c>
      <c r="C85" s="14" t="inlineStr">
        <is>
          <t>5-8,13-17</t>
        </is>
      </c>
      <c r="D85" s="14" t="inlineStr">
        <is>
          <t>5–8</t>
        </is>
      </c>
      <c r="E85" s="31" t="n">
        <v>0.7727000000000001</v>
      </c>
      <c r="F85" s="31" t="n">
        <v>0.2273</v>
      </c>
      <c r="G85" s="31" t="n">
        <v>0.2273</v>
      </c>
      <c r="H85" s="17" t="n">
        <v>27.44</v>
      </c>
      <c r="I85" s="4" t="inlineStr">
        <is>
          <t>8: 9, 6: 6, 17: 4, 7: 2</t>
        </is>
      </c>
    </row>
    <row r="86">
      <c r="A86" s="4" t="inlineStr">
        <is>
          <t>май 2026</t>
        </is>
      </c>
      <c r="B86" s="14" t="n">
        <v>19</v>
      </c>
      <c r="C86" s="14" t="inlineStr">
        <is>
          <t>5-8,13-17</t>
        </is>
      </c>
      <c r="D86" s="14" t="inlineStr">
        <is>
          <t>5–8</t>
        </is>
      </c>
      <c r="E86" s="31" t="n">
        <v>0.7895</v>
      </c>
      <c r="F86" s="31" t="n">
        <v>0.3158</v>
      </c>
      <c r="G86" s="31" t="n">
        <v>0.3684</v>
      </c>
      <c r="H86" s="17" t="n">
        <v>35.6</v>
      </c>
      <c r="I86" s="4" t="inlineStr">
        <is>
          <t>6: 8, 7: 5, 8: 2, 13: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Методика</t>
        </is>
      </c>
    </row>
    <row r="2">
      <c r="A2" s="2" t="inlineStr">
        <is>
          <t>Порядок расчёта</t>
        </is>
      </c>
    </row>
    <row r="4" ht="54" customHeight="1">
      <c r="A4" s="33" t="inlineStr">
        <is>
          <t>ЧСМ</t>
        </is>
      </c>
      <c r="B4" s="34" t="inlineStr">
        <is>
          <t>Час собственного максимума субъекта — час наибольшего потребления региона в рабочие сутки, но только среди плановых пиковых часов СО ЕЭС (2-я ценовая зона: 5–8 и дневной интервал; 1-я: 8–21 с перерывами). Часы МСК, метки 1–24 как в отчётах АТС.</t>
        </is>
      </c>
    </row>
    <row r="5" ht="36" customHeight="1">
      <c r="A5" s="33" t="inlineStr">
        <is>
          <t>Разгрузка</t>
        </is>
      </c>
      <c r="B5" s="34" t="inlineStr">
        <is>
          <t>Завод снижает нагрузку на свой потолок в 4 часах подряд внутри окна СО ЕЭС. Обязательство по мощности = нагрузка завода в ЧСМ; если ЧСМ попал в блок, оно меньше на величину среза.</t>
        </is>
      </c>
    </row>
    <row r="6" ht="36" customHeight="1">
      <c r="A6" s="33" t="inlineStr">
        <is>
          <t>Сценарий 1</t>
        </is>
      </c>
      <c r="B6" s="34" t="inlineStr">
        <is>
          <t>Точность 80 %: зачётное снижение = потолок × 0,8. Экономия в месяц = зачётное снижение × цена мощности года. Окупаемость = инвестиции ÷ экономия.</t>
        </is>
      </c>
    </row>
    <row r="7" ht="90" customHeight="1">
      <c r="A7" s="33" t="inlineStr">
        <is>
          <t>Сценарий 2</t>
        </is>
      </c>
      <c r="B7" s="34" t="inlineStr">
        <is>
          <t>Срез завода снижает и нагрузку региона. Если срез больше запаса пика блока над остальными часами окна, ЧСМ переезжает в час без разгрузки и эффект суток = 0. Поэтому в дни попадания срез ограничен этим запасом. Доля безопасного среза = средний безопасный срез ÷ суммарный срез региона, посчитана по посуточному факту АТС при идеальном выборе блока. Заводы одного региона (Иркутская: БрАЗ, ИркАЗ, ТАЗ) режут совместно, доля общая.</t>
        </is>
      </c>
    </row>
    <row r="8" ht="54" customHeight="1">
      <c r="A8" s="33" t="inlineStr">
        <is>
          <t>Данные</t>
        </is>
      </c>
      <c r="B8" s="34" t="inlineStr">
        <is>
          <t>Отчёты АТС «совокупное фактическое потребление в субъекте», рабочие дни июнь 2025 — май 2026 (папка raw). Средний профиль сверен с monthly_profiles. По Мурманской области посуточного отчёта нет — только сценарий 1.</t>
        </is>
      </c>
    </row>
    <row r="9" ht="36" customHeight="1">
      <c r="A9" s="33" t="inlineStr">
        <is>
          <t>Не учтено</t>
        </is>
      </c>
      <c r="B9" s="34" t="inlineStr">
        <is>
          <t>Недовыпуск или перенос производства, разница цен электроэнергии по часам, сетевая составляющая, реальные инвестиционные затраты (принято 1 млн руб на завод).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2026-10-09T04:49:17Z</dcterms:created>
  <dcterms:modified xmlns:dcterms="http://purl.org/dc/terms/" xmlns:xsi="http://www.w3.org/2001/XMLSchema-instance" xsi:type="dcterms:W3CDTF">2026-10-09T04:49:17Z</dcterms:modified>
</cp:coreProperties>
</file>